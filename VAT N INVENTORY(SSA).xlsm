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8b0bf28d2023491/Desktop/"/>
    </mc:Choice>
  </mc:AlternateContent>
  <xr:revisionPtr revIDLastSave="58" documentId="13_ncr:1_{A14BCACF-6B2A-40F0-B02F-002AABAE49F2}" xr6:coauthVersionLast="47" xr6:coauthVersionMax="47" xr10:uidLastSave="{E9474A49-53E4-49CC-9C24-AD5D1CA7E690}"/>
  <bookViews>
    <workbookView xWindow="-110" yWindow="-110" windowWidth="19420" windowHeight="11500" activeTab="1" xr2:uid="{57431069-8FDC-428C-A3C7-691B7703D65B}"/>
  </bookViews>
  <sheets>
    <sheet name="Dashboard" sheetId="53" r:id="rId1"/>
    <sheet name="MM_ENTRY" sheetId="1" r:id="rId2"/>
    <sheet name="AR_AP_Entry" sheetId="5" r:id="rId3"/>
    <sheet name="Purchase_Entry" sheetId="9" r:id="rId4"/>
    <sheet name="Sales_Entry" sheetId="12" r:id="rId5"/>
    <sheet name="Production_Entry" sheetId="16" r:id="rId6"/>
    <sheet name="GL_Master" sheetId="49" r:id="rId7"/>
    <sheet name="RM_Master" sheetId="2" r:id="rId8"/>
    <sheet name="FG_Master" sheetId="3" r:id="rId9"/>
    <sheet name="BP_Master" sheetId="4" r:id="rId10"/>
    <sheet name="Party_Master" sheetId="6" r:id="rId11"/>
    <sheet name="Production_Journal" sheetId="19" r:id="rId12"/>
    <sheet name="Stock_Journal" sheetId="25" r:id="rId13"/>
    <sheet name="FA_Register" sheetId="44" r:id="rId14"/>
    <sheet name="Purchase_Book" sheetId="10" r:id="rId15"/>
    <sheet name="Sales_Book" sheetId="13" r:id="rId16"/>
    <sheet name="VAT_Summary" sheetId="35" r:id="rId17"/>
    <sheet name="RM_Stock_Report" sheetId="21" r:id="rId18"/>
    <sheet name="FG_Stock_Report" sheetId="33" r:id="rId19"/>
    <sheet name="Dropdown_Lists" sheetId="48" state="veryHidden" r:id="rId20"/>
    <sheet name="GL_Book" sheetId="50" r:id="rId21"/>
    <sheet name="Party_ledger" sheetId="51" r:id="rId22"/>
    <sheet name="Settings" sheetId="52" state="veryHidden" r:id="rId23"/>
    <sheet name="Costing_Budget" sheetId="57" r:id="rId24"/>
  </sheets>
  <functionGroups builtInGroupCount="19"/>
  <definedNames>
    <definedName name="_xlnm._FilterDatabase" localSheetId="11" hidden="1">Production_Journal!$A$1:$L$41</definedName>
    <definedName name="_xlnm._FilterDatabase" localSheetId="14" hidden="1">Purchase_Book!$A$1:$AB$103</definedName>
    <definedName name="_xlnm._FilterDatabase" localSheetId="12" hidden="1">Stock_Journal!$A$1:$M$217</definedName>
    <definedName name="BP_Names">BP_Master!$B$2:$B$20000</definedName>
    <definedName name="FACodeList">Dropdown_Lists!$E$2:$E$5</definedName>
    <definedName name="FG_BP_Combined">FG_Master!$B$2:$B$20000,BP_Master!$B$2:$B$20000</definedName>
    <definedName name="FG_Names">FG_Master!$B$2:$B$20000</definedName>
    <definedName name="Opening_VAT" localSheetId="16">VAT_Summary!$D$2</definedName>
    <definedName name="_xlnm.Print_Area" localSheetId="1">MM_ENTRY!$A$1:$B$37</definedName>
    <definedName name="_xlnm.Print_Area" localSheetId="5">Production_Entry!$A$1:$E$24</definedName>
    <definedName name="_xlnm.Print_Area" localSheetId="16">VAT_Summary!$A$1:$L$42</definedName>
    <definedName name="VAT_Adjustments" localSheetId="16">VAT_Summary!$J$17</definedName>
    <definedName name="VAT_From_Date" localSheetId="16">VAT_Summary!$C$3</definedName>
    <definedName name="VAT_Paid" localSheetId="16">VAT_Summary!$J$16</definedName>
    <definedName name="VAT_To_Date" localSheetId="16">VAT_Summary!$E$3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6" i="33" l="1"/>
  <c r="Q6" i="33"/>
  <c r="O6" i="33"/>
  <c r="M6" i="33"/>
  <c r="L6" i="33"/>
  <c r="J6" i="33"/>
  <c r="I6" i="33"/>
  <c r="G6" i="33"/>
  <c r="F6" i="33"/>
  <c r="D6" i="33"/>
  <c r="O50" i="21"/>
  <c r="M50" i="21"/>
  <c r="L50" i="21"/>
  <c r="J50" i="21"/>
  <c r="I50" i="21"/>
  <c r="H50" i="21"/>
  <c r="G50" i="21"/>
  <c r="E50" i="21"/>
  <c r="D50" i="21"/>
  <c r="B50" i="21"/>
  <c r="M20" i="35"/>
  <c r="J20" i="35"/>
  <c r="M17" i="35"/>
  <c r="J17" i="35"/>
  <c r="L15" i="35"/>
  <c r="K15" i="35"/>
  <c r="J15" i="35"/>
  <c r="I15" i="35"/>
  <c r="F15" i="35"/>
  <c r="E15" i="35"/>
  <c r="D15" i="35"/>
  <c r="C15" i="35"/>
  <c r="I50" i="10" l="1"/>
  <c r="H50" i="10"/>
</calcChain>
</file>

<file path=xl/sharedStrings.xml><?xml version="1.0" encoding="utf-8"?>
<sst xmlns="http://schemas.openxmlformats.org/spreadsheetml/2006/main" count="3421" uniqueCount="559">
  <si>
    <t>MATERIAL MASTER</t>
  </si>
  <si>
    <t>Raw Material Entry</t>
  </si>
  <si>
    <t>UOM</t>
  </si>
  <si>
    <t>RM Product Name</t>
  </si>
  <si>
    <t>RM Product Code</t>
  </si>
  <si>
    <t>Is it Taxable?</t>
  </si>
  <si>
    <t>Is it Directly Saleable?</t>
  </si>
  <si>
    <t>Opening Balance (Qty)</t>
  </si>
  <si>
    <t>KG</t>
  </si>
  <si>
    <t>Opening Balance (Rs.)</t>
  </si>
  <si>
    <t>Finished Goods Entry</t>
  </si>
  <si>
    <t>FG Product Name</t>
  </si>
  <si>
    <t>FG Product Code</t>
  </si>
  <si>
    <t>ByProduct Entry</t>
  </si>
  <si>
    <t>ByProduct Name</t>
  </si>
  <si>
    <t>ByProduct Code</t>
  </si>
  <si>
    <t>Date</t>
  </si>
  <si>
    <t>LTR</t>
  </si>
  <si>
    <t>PCS</t>
  </si>
  <si>
    <t>GM</t>
  </si>
  <si>
    <t>GLN</t>
  </si>
  <si>
    <t>DRUM</t>
  </si>
  <si>
    <t>MT</t>
  </si>
  <si>
    <t>PKT</t>
  </si>
  <si>
    <t>Field</t>
  </si>
  <si>
    <t>Party Type (Customer/Vendor)</t>
  </si>
  <si>
    <t>Party Name</t>
  </si>
  <si>
    <t>PAN No</t>
  </si>
  <si>
    <t>Phone</t>
  </si>
  <si>
    <t>Email</t>
  </si>
  <si>
    <t>Opening Balance</t>
  </si>
  <si>
    <t>Details</t>
  </si>
  <si>
    <t>AR/AP MASTER</t>
  </si>
  <si>
    <t>Type</t>
  </si>
  <si>
    <t>Name</t>
  </si>
  <si>
    <t>PAN</t>
  </si>
  <si>
    <t>Reference</t>
  </si>
  <si>
    <t>Vendor</t>
  </si>
  <si>
    <t>Entry Date</t>
  </si>
  <si>
    <t>Entry Date (MM/DD/YY)</t>
  </si>
  <si>
    <t>Bill No</t>
  </si>
  <si>
    <t>Vendor Name</t>
  </si>
  <si>
    <t>Vendor PAN</t>
  </si>
  <si>
    <t>Product Code</t>
  </si>
  <si>
    <t>Product Name</t>
  </si>
  <si>
    <t>Quantity</t>
  </si>
  <si>
    <t>Price per Unit</t>
  </si>
  <si>
    <t>Is Taxable? (Yes/No)</t>
  </si>
  <si>
    <t>Is Capital Item? (Yes/No)</t>
  </si>
  <si>
    <t>PURCHASE ENTRY</t>
  </si>
  <si>
    <t>Month</t>
  </si>
  <si>
    <t>Qty</t>
  </si>
  <si>
    <t>Rate</t>
  </si>
  <si>
    <t>Taxable?</t>
  </si>
  <si>
    <t>Taxable Value</t>
  </si>
  <si>
    <t>VAT</t>
  </si>
  <si>
    <t>Total</t>
  </si>
  <si>
    <t>Non-Taxable Value</t>
  </si>
  <si>
    <t>Capital Item</t>
  </si>
  <si>
    <t>CapTaxable Value</t>
  </si>
  <si>
    <t>CapVat</t>
  </si>
  <si>
    <t>CapTotal</t>
  </si>
  <si>
    <t>CapQty</t>
  </si>
  <si>
    <t>CapRate</t>
  </si>
  <si>
    <t>Customer Name</t>
  </si>
  <si>
    <t>Customer PAN</t>
  </si>
  <si>
    <t>SALES ENTRY</t>
  </si>
  <si>
    <t>RAW MATERIALS</t>
  </si>
  <si>
    <t>NRV</t>
  </si>
  <si>
    <t>Amount</t>
  </si>
  <si>
    <t>PRODUCT NAME</t>
  </si>
  <si>
    <t>Op. Rate</t>
  </si>
  <si>
    <t>Op. Amount</t>
  </si>
  <si>
    <t>Opening Qty</t>
  </si>
  <si>
    <t>Closing Qty</t>
  </si>
  <si>
    <t>Cl. Rate</t>
  </si>
  <si>
    <t>Closing Amount</t>
  </si>
  <si>
    <t>Order Date</t>
  </si>
  <si>
    <t>Order No</t>
  </si>
  <si>
    <t>RM1</t>
  </si>
  <si>
    <t>RM2</t>
  </si>
  <si>
    <t>RM3</t>
  </si>
  <si>
    <t>RM4</t>
  </si>
  <si>
    <t>RM5</t>
  </si>
  <si>
    <t>FG1</t>
  </si>
  <si>
    <t>FG2</t>
  </si>
  <si>
    <t>FG3</t>
  </si>
  <si>
    <t>BP1</t>
  </si>
  <si>
    <t>BP2</t>
  </si>
  <si>
    <t>PRODUCTION ENTRY</t>
  </si>
  <si>
    <t>Directly Saleable? (Yes/No)</t>
  </si>
  <si>
    <t>NRV (Selling Price)</t>
  </si>
  <si>
    <t>BYPRODUCTS (leave blank if Directly Saleable)</t>
  </si>
  <si>
    <t>Movement Type</t>
  </si>
  <si>
    <t>Sign</t>
  </si>
  <si>
    <t>Product Type</t>
  </si>
  <si>
    <t>FGProduct Name</t>
  </si>
  <si>
    <t>FGProduct Code</t>
  </si>
  <si>
    <t>Conversion</t>
  </si>
  <si>
    <t>Calc. Amount</t>
  </si>
  <si>
    <t>Ref</t>
  </si>
  <si>
    <t>Source</t>
  </si>
  <si>
    <t>Unique Key</t>
  </si>
  <si>
    <t>Sort Order</t>
  </si>
  <si>
    <t>Raw Material Stock Report</t>
  </si>
  <si>
    <t>FROM:</t>
  </si>
  <si>
    <t>TO:</t>
  </si>
  <si>
    <t>Purchase Qty</t>
  </si>
  <si>
    <t>Pur. Rate</t>
  </si>
  <si>
    <t>Purchase Amount</t>
  </si>
  <si>
    <t>Direct Sale Qty</t>
  </si>
  <si>
    <t>Direct Sale Amount</t>
  </si>
  <si>
    <t>Consumption Qty</t>
  </si>
  <si>
    <t>Cons. Rate</t>
  </si>
  <si>
    <t>Consumption Amount</t>
  </si>
  <si>
    <t>TOTAL</t>
  </si>
  <si>
    <t>VAT Payable for the Period</t>
  </si>
  <si>
    <t>VAT Paid Till Date</t>
  </si>
  <si>
    <t>VAT Adjustments</t>
  </si>
  <si>
    <t>VAT SUMMARY REPORT</t>
  </si>
  <si>
    <t>Report Period:</t>
  </si>
  <si>
    <t>&lt;-- Enter amount paid to tax authority</t>
  </si>
  <si>
    <t>Opening VAT Receivable:</t>
  </si>
  <si>
    <t>&lt;-- Enter credit notes / adjustments</t>
  </si>
  <si>
    <t>VAT DUES  (Payable to Government)</t>
  </si>
  <si>
    <t>Main Group</t>
  </si>
  <si>
    <t>Item Name</t>
  </si>
  <si>
    <t>Sub Group</t>
  </si>
  <si>
    <t>Header</t>
  </si>
  <si>
    <t>Capital Item Name</t>
  </si>
  <si>
    <t>SN</t>
  </si>
  <si>
    <t>Addition Date</t>
  </si>
  <si>
    <t>QTY</t>
  </si>
  <si>
    <t>RATE</t>
  </si>
  <si>
    <t>FA Code</t>
  </si>
  <si>
    <t>CODE</t>
  </si>
  <si>
    <t>Additions</t>
  </si>
  <si>
    <t>Disposals</t>
  </si>
  <si>
    <t>FA-Code</t>
  </si>
  <si>
    <t>FA_Code_List</t>
  </si>
  <si>
    <t>INPUT VAT  —  Source: Purchase_Book</t>
  </si>
  <si>
    <t>OUTPUT VAT  —  Source: Sales_Book</t>
  </si>
  <si>
    <t>VAT (Incl. CapVAT)</t>
  </si>
  <si>
    <t>Is Purchase Return/ Debit Note?</t>
  </si>
  <si>
    <t>Original Bill Reference</t>
  </si>
  <si>
    <t>Is Sales Return/ Credit Note?</t>
  </si>
  <si>
    <t>Transaction Type</t>
  </si>
  <si>
    <t>Original Bill Ref</t>
  </si>
  <si>
    <t>GL Asset Name</t>
  </si>
  <si>
    <t>Opening Debit</t>
  </si>
  <si>
    <t>Opening Credit</t>
  </si>
  <si>
    <t>Unique ID</t>
  </si>
  <si>
    <t>Ledger Name</t>
  </si>
  <si>
    <t>Description</t>
  </si>
  <si>
    <t>Dr</t>
  </si>
  <si>
    <t>Cr</t>
  </si>
  <si>
    <t>Balance</t>
  </si>
  <si>
    <t>Product Code = Product Name</t>
  </si>
  <si>
    <t>CAPITAL ITEM DETAILS</t>
  </si>
  <si>
    <t>Debit</t>
  </si>
  <si>
    <t>Credit</t>
  </si>
  <si>
    <t>Company Name</t>
  </si>
  <si>
    <t>User Name</t>
  </si>
  <si>
    <t>Contact No</t>
  </si>
  <si>
    <t>Ganesh Tel Mill</t>
  </si>
  <si>
    <t>Suresh Sharma</t>
  </si>
  <si>
    <t>A.</t>
  </si>
  <si>
    <t>B.</t>
  </si>
  <si>
    <t>C.</t>
  </si>
  <si>
    <t>FINISHED GOODS</t>
  </si>
  <si>
    <t>Tori Geda- OP</t>
  </si>
  <si>
    <t>No</t>
  </si>
  <si>
    <t>Yes</t>
  </si>
  <si>
    <t>Opening</t>
  </si>
  <si>
    <t>RM_Master</t>
  </si>
  <si>
    <t>|RM_MASTER||OPENING|RM1|TORI GEDA- OP</t>
  </si>
  <si>
    <t>Hari Om Trading</t>
  </si>
  <si>
    <t>Poush</t>
  </si>
  <si>
    <t>Repseed (tori)</t>
  </si>
  <si>
    <t>Purchase</t>
  </si>
  <si>
    <t>Shrawan</t>
  </si>
  <si>
    <t>Jay Mata Baishno Traders</t>
  </si>
  <si>
    <t>Sesame seed</t>
  </si>
  <si>
    <t>Ashwin</t>
  </si>
  <si>
    <t>Mangsir</t>
  </si>
  <si>
    <t>Bhadra</t>
  </si>
  <si>
    <t>Magh</t>
  </si>
  <si>
    <t>Manu Kirana Traders</t>
  </si>
  <si>
    <t>manutraders229@gmail.com</t>
  </si>
  <si>
    <t>Mass Dal</t>
  </si>
  <si>
    <t>Mass Geda</t>
  </si>
  <si>
    <t xml:space="preserve">Rahar Dal </t>
  </si>
  <si>
    <t>Masyang</t>
  </si>
  <si>
    <t>Chana</t>
  </si>
  <si>
    <t>Rajma Daal</t>
  </si>
  <si>
    <t>Green Moong</t>
  </si>
  <si>
    <t>Kodo</t>
  </si>
  <si>
    <t>Moong Dal Khosta</t>
  </si>
  <si>
    <t>Moong Dal Chata</t>
  </si>
  <si>
    <t>Moong Geda</t>
  </si>
  <si>
    <t>Popcorn</t>
  </si>
  <si>
    <t>Kawali Chana</t>
  </si>
  <si>
    <t>Chana Dal</t>
  </si>
  <si>
    <t>Masur Dal</t>
  </si>
  <si>
    <t>Rahar Dal</t>
  </si>
  <si>
    <t>Falgun</t>
  </si>
  <si>
    <t>Kartik</t>
  </si>
  <si>
    <t>Anjali Khadya Kirana Store</t>
  </si>
  <si>
    <t xml:space="preserve">Kaju </t>
  </si>
  <si>
    <t>Badam</t>
  </si>
  <si>
    <t>Okhar</t>
  </si>
  <si>
    <t>Kaju</t>
  </si>
  <si>
    <t>Aalas</t>
  </si>
  <si>
    <t>Souf</t>
  </si>
  <si>
    <t>Pumpkin seeds</t>
  </si>
  <si>
    <t>Sunflower Seeds</t>
  </si>
  <si>
    <t>Mishri</t>
  </si>
  <si>
    <t>Almond</t>
  </si>
  <si>
    <t>Kismis</t>
  </si>
  <si>
    <t>Local Souf</t>
  </si>
  <si>
    <t>Sukmel</t>
  </si>
  <si>
    <t>Nariyol</t>
  </si>
  <si>
    <t>Local Badam</t>
  </si>
  <si>
    <t>Roll Dalchini</t>
  </si>
  <si>
    <t>Dhaniya</t>
  </si>
  <si>
    <t>Local Vendor</t>
  </si>
  <si>
    <t>LV-1</t>
  </si>
  <si>
    <t>Chaitra</t>
  </si>
  <si>
    <t>L1</t>
  </si>
  <si>
    <t>LV-2</t>
  </si>
  <si>
    <t>Bhatmas (Seto Thulo)</t>
  </si>
  <si>
    <t>Bhatmas ( Kalo Thulo)</t>
  </si>
  <si>
    <t>Kerau (white)</t>
  </si>
  <si>
    <t>Kerau (hariyo)</t>
  </si>
  <si>
    <t>Rahar Dal (Khosta)</t>
  </si>
  <si>
    <t>Masur (Australian)</t>
  </si>
  <si>
    <t>LV-3</t>
  </si>
  <si>
    <t>S.&amp;.S.</t>
  </si>
  <si>
    <t>Bhatmas (Seto)</t>
  </si>
  <si>
    <t>Bhatmas (Kalo)</t>
  </si>
  <si>
    <t>Chamal</t>
  </si>
  <si>
    <t>Til (Khairo)</t>
  </si>
  <si>
    <t>Kinuwa</t>
  </si>
  <si>
    <t>Fapar</t>
  </si>
  <si>
    <t>Kerau (Seto)</t>
  </si>
  <si>
    <t>Simran And Shruti Traders</t>
  </si>
  <si>
    <t>Factory Structure</t>
  </si>
  <si>
    <t>Block A</t>
  </si>
  <si>
    <t>Depreciable Assets</t>
  </si>
  <si>
    <t>Non-Current Assets</t>
  </si>
  <si>
    <t>BS</t>
  </si>
  <si>
    <t>FA-A-BLD</t>
  </si>
  <si>
    <t>Plant And Machinery</t>
  </si>
  <si>
    <t>Block D</t>
  </si>
  <si>
    <t>FA-D-PM</t>
  </si>
  <si>
    <t>FA-A-BLD-2</t>
  </si>
  <si>
    <t>FA-D-PM-2</t>
  </si>
  <si>
    <t>Satyam Shivam Traders</t>
  </si>
  <si>
    <t>Bicky Hardware House Pvt. Ltd.</t>
  </si>
  <si>
    <t>GL_Master</t>
  </si>
  <si>
    <t>FA-A-BLD | Factory Structure</t>
  </si>
  <si>
    <t>FA-D-PM | Plant And Machinery</t>
  </si>
  <si>
    <t>FA-A-BLD-2 | Factory Structure</t>
  </si>
  <si>
    <t>FA-D-PM-2 | Plant And Machinery</t>
  </si>
  <si>
    <t>|RM_MASTER||OPENING|RM1|RAHAR DAL</t>
  </si>
  <si>
    <t>|RM_MASTER||OPENING|RM1|MASYANG</t>
  </si>
  <si>
    <t>|RM_MASTER||OPENING|RM1|CHANA</t>
  </si>
  <si>
    <t>|RM_MASTER||OPENING|RM1|MASS DAL</t>
  </si>
  <si>
    <t>|RM_MASTER||OPENING|RM1|RAJMA DAAL</t>
  </si>
  <si>
    <t>|RM_MASTER||OPENING|RM1|FAPAR</t>
  </si>
  <si>
    <t>|RM_MASTER||OPENING|RM1|GREEN MOONG</t>
  </si>
  <si>
    <t>|RM_MASTER||OPENING|RM1|MASS GEDA</t>
  </si>
  <si>
    <t>|RM_MASTER||OPENING|RM1|KODO</t>
  </si>
  <si>
    <t>|RM_MASTER||OPENING|RM1|REPSEED (TORI)</t>
  </si>
  <si>
    <t>|RM_MASTER||OPENING|RM1|SESAME SEED</t>
  </si>
  <si>
    <t>|RM_MASTER||OPENING|RM1|MOONG DAL KHOSTA</t>
  </si>
  <si>
    <t>|RM_MASTER||OPENING|RM1|MOONG DAL CHATA</t>
  </si>
  <si>
    <t>|RM_MASTER||OPENING|RM1|MOONG GEDA</t>
  </si>
  <si>
    <t>|RM_MASTER||OPENING|RM1|POPCORN</t>
  </si>
  <si>
    <t>|RM_MASTER||OPENING|RM1|KAWALI CHANA</t>
  </si>
  <si>
    <t>|RM_MASTER||OPENING|RM1|CHANA DAL</t>
  </si>
  <si>
    <t>|RM_MASTER||OPENING|RM1|MASUR DAL</t>
  </si>
  <si>
    <t>|RM_MASTER||OPENING|RM1|KAJU</t>
  </si>
  <si>
    <t>|RM_MASTER||OPENING|RM1|BADAM</t>
  </si>
  <si>
    <t>|RM_MASTER||OPENING|RM1|OKHAR</t>
  </si>
  <si>
    <t>|RM_MASTER||OPENING|RM1|AALAS</t>
  </si>
  <si>
    <t>|RM_MASTER||OPENING|RM1|SOUF</t>
  </si>
  <si>
    <t>|RM_MASTER||OPENING|RM1|PUMPKIN SEEDS</t>
  </si>
  <si>
    <t>|RM_MASTER||OPENING|RM1|SUNFLOWER SEEDS</t>
  </si>
  <si>
    <t>|RM_MASTER||OPENING|RM1|MISHRI</t>
  </si>
  <si>
    <t>|RM_MASTER||OPENING|RM1|ALMOND</t>
  </si>
  <si>
    <t>|RM_MASTER||OPENING|RM1|KISMIS</t>
  </si>
  <si>
    <t>|RM_MASTER||OPENING|RM1|LOCAL SOUF</t>
  </si>
  <si>
    <t>|RM_MASTER||OPENING|RM1|SUKMEL</t>
  </si>
  <si>
    <t>|RM_MASTER||OPENING|RM1|NARIYOL</t>
  </si>
  <si>
    <t>|RM_MASTER||OPENING|RM1|LOCAL BADAM</t>
  </si>
  <si>
    <t>|RM_MASTER||OPENING|RM1|ROLL DALCHINI</t>
  </si>
  <si>
    <t>|RM_MASTER||OPENING|RM1|DHANIYA</t>
  </si>
  <si>
    <t>|RM_MASTER||OPENING|RM1|MASUR (AUSTRALIAN)</t>
  </si>
  <si>
    <t>|RM_MASTER||OPENING|RM1|BHATMAS (SETO THULO)</t>
  </si>
  <si>
    <t>|RM_MASTER||OPENING|RM1|BHATMAS ( KALO THULO)</t>
  </si>
  <si>
    <t>|RM_MASTER||OPENING|RM1|KERAU (WHITE)</t>
  </si>
  <si>
    <t>|RM_MASTER||OPENING|RM1|KERAU (HARIYO)</t>
  </si>
  <si>
    <t>|RM_MASTER||OPENING|RM1|RAHAR DAL (KHOSTA)</t>
  </si>
  <si>
    <t>|RM_MASTER||OPENING|RM1|BHATMAS (SETO)</t>
  </si>
  <si>
    <t>|RM_MASTER||OPENING|RM1|BHATMAS (KALO)</t>
  </si>
  <si>
    <t>|RM_MASTER||OPENING|RM1|CHAMAL</t>
  </si>
  <si>
    <t>|RM_MASTER||OPENING|RM1|TIL (KHAIRO)</t>
  </si>
  <si>
    <t>|RM_MASTER||OPENING|RM1|KINUWA</t>
  </si>
  <si>
    <t>Purchase_Book</t>
  </si>
  <si>
    <t>PURCHASE|PURCHASE_BOOK|232|PURCHASE|RM1|REPSEED (TORI)</t>
  </si>
  <si>
    <t>PURCHASE|PURCHASE_BOOK|29|PURCHASE|RM1|REPSEED (TORI)</t>
  </si>
  <si>
    <t>PURCHASE|PURCHASE_BOOK|236|PURCHASE|RM1|SESAME SEED</t>
  </si>
  <si>
    <t>PURCHASE|PURCHASE_BOOK|110|PURCHASE|RM1|REPSEED (TORI)</t>
  </si>
  <si>
    <t>PURCHASE|PURCHASE_BOOK|208|PURCHASE|RM1|REPSEED (TORI)</t>
  </si>
  <si>
    <t>PURCHASE|PURCHASE_BOOK|80|PURCHASE|RM1|REPSEED (TORI)</t>
  </si>
  <si>
    <t>PURCHASE|PURCHASE_BOOK|81|PURCHASE|RM1|REPSEED (TORI)</t>
  </si>
  <si>
    <t>PURCHASE|PURCHASE_BOOK|79|PURCHASE|RM1|REPSEED (TORI)</t>
  </si>
  <si>
    <t>PURCHASE|PURCHASE_BOOK|276|PURCHASE|RM1|REPSEED (TORI)</t>
  </si>
  <si>
    <t>PURCHASE|PURCHASE_BOOK|1505|PURCHASE|RM1|MASS DAL</t>
  </si>
  <si>
    <t>PURCHASE|PURCHASE_BOOK|1505|PURCHASE|RM1|MOONG DAL KHOSTA</t>
  </si>
  <si>
    <t>PURCHASE|PURCHASE_BOOK|1505|PURCHASE|RM1|MOONG DAL CHATA</t>
  </si>
  <si>
    <t>PURCHASE|PURCHASE_BOOK|1505|PURCHASE|RM1|RAHAR DAL</t>
  </si>
  <si>
    <t>PURCHASE|PURCHASE_BOOK|1505|PURCHASE|RM1|POPCORN</t>
  </si>
  <si>
    <t>PURCHASE|PURCHASE_BOOK|1505|PURCHASE|RM1|CHANA</t>
  </si>
  <si>
    <t>PURCHASE|PURCHASE_BOOK|1505|PURCHASE|RM1|KAWALI CHANA</t>
  </si>
  <si>
    <t>PURCHASE|PURCHASE_BOOK|1505|PURCHASE|RM1|CHANA DAL</t>
  </si>
  <si>
    <t>PURCHASE|PURCHASE_BOOK|1505|PURCHASE|RM1|MASUR DAL</t>
  </si>
  <si>
    <t>PURCHASE|PURCHASE_BOOK|1505|PURCHASE|RM1|MOONG GEDA</t>
  </si>
  <si>
    <t>PURCHASE|PURCHASE_BOOK|280|PURCHASE|RM1|REPSEED (TORI)</t>
  </si>
  <si>
    <t>PURCHASE|PURCHASE_BOOK|308|PURCHASE|RM1|REPSEED (TORI)</t>
  </si>
  <si>
    <t>PURCHASE|PURCHASE_BOOK|12|PURCHASE|RM1|REPSEED (TORI)</t>
  </si>
  <si>
    <t>PURCHASE|PURCHASE_BOOK|294|PURCHASE|RM1|REPSEED (TORI)</t>
  </si>
  <si>
    <t>PURCHASE|PURCHASE_BOOK|365|PURCHASE|RM1|REPSEED (TORI)</t>
  </si>
  <si>
    <t>PURCHASE|PURCHASE_BOOK|300|PURCHASE|RM1|REPSEED (TORI)</t>
  </si>
  <si>
    <t>PURCHASE|PURCHASE_BOOK|328|PURCHASE|RM1|REPSEED (TORI)</t>
  </si>
  <si>
    <t>PURCHASE|PURCHASE_BOOK|354|PURCHASE|RM1|REPSEED (TORI)</t>
  </si>
  <si>
    <t>PURCHASE|PURCHASE_BOOK|348|PURCHASE|RM1|REPSEED (TORI)</t>
  </si>
  <si>
    <t>PURCHASE|PURCHASE_BOOK|263|PURCHASE|RM1|REPSEED (TORI)</t>
  </si>
  <si>
    <t>PURCHASE|PURCHASE_BOOK|182|PURCHASE|RM1|REPSEED (TORI)</t>
  </si>
  <si>
    <t>PURCHASE|PURCHASE_BOOK|181|PURCHASE|RM1|REPSEED (TORI)</t>
  </si>
  <si>
    <t>PURCHASE|PURCHASE_BOOK|275|PURCHASE|RM1|REPSEED (TORI)</t>
  </si>
  <si>
    <t>PURCHASE|PURCHASE_BOOK|202|PURCHASE|RM1|SESAME SEED</t>
  </si>
  <si>
    <t>PURCHASE|PURCHASE_BOOK|152|PURCHASE|RM1|REPSEED (TORI)</t>
  </si>
  <si>
    <t>PURCHASE|PURCHASE_BOOK|115|PURCHASE|RM1|REPSEED (TORI)</t>
  </si>
  <si>
    <t>PURCHASE|PURCHASE_BOOK|27|PURCHASE|RM1|REPSEED (TORI)</t>
  </si>
  <si>
    <t>PURCHASE|PURCHASE_BOOK|150|PURCHASE|RM1|REPSEED (TORI)</t>
  </si>
  <si>
    <t>PURCHASE|PURCHASE_BOOK|147|PURCHASE|RM1|REPSEED (TORI)</t>
  </si>
  <si>
    <t>PURCHASE|PURCHASE_BOOK|258|PURCHASE|RM1|KAJU</t>
  </si>
  <si>
    <t>PURCHASE|PURCHASE_BOOK|258|PURCHASE|RM1|OKHAR</t>
  </si>
  <si>
    <t>PURCHASE|PURCHASE_BOOK|258|PURCHASE|RM1|BADAM</t>
  </si>
  <si>
    <t>PURCHASE|PURCHASE_BOOK|209|PURCHASE|RM1|REPSEED (TORI)</t>
  </si>
  <si>
    <t>PURCHASE|PURCHASE_BOOK|L1|PURCHASE|RM1|AALAS</t>
  </si>
  <si>
    <t>PURCHASE|PURCHASE_BOOK|L1|PURCHASE|RM1|SOUF</t>
  </si>
  <si>
    <t>PURCHASE|PURCHASE_BOOK|L1|PURCHASE|RM1|OKHAR</t>
  </si>
  <si>
    <t>PURCHASE|PURCHASE_BOOK|L1|PURCHASE|RM1|PUMPKIN SEEDS</t>
  </si>
  <si>
    <t>PURCHASE|PURCHASE_BOOK|L1|PURCHASE|RM1|SUNFLOWER SEEDS</t>
  </si>
  <si>
    <t>PURCHASE|PURCHASE_BOOK|L1|PURCHASE|RM1|MISHRI</t>
  </si>
  <si>
    <t>PURCHASE|PURCHASE_BOOK|L1|PURCHASE|RM1|KAJU</t>
  </si>
  <si>
    <t>PURCHASE|PURCHASE_BOOK|L1|PURCHASE|RM1|ALMOND</t>
  </si>
  <si>
    <t>PURCHASE|PURCHASE_BOOK|L1|PURCHASE|RM1|KISMIS</t>
  </si>
  <si>
    <t>PURCHASE|PURCHASE_BOOK|L1|PURCHASE|RM1|LOCAL SOUF</t>
  </si>
  <si>
    <t>PURCHASE|PURCHASE_BOOK|L1|PURCHASE|RM1|SUKMEL</t>
  </si>
  <si>
    <t>PURCHASE|PURCHASE_BOOK|L1|PURCHASE|RM1|NARIYOL</t>
  </si>
  <si>
    <t>PURCHASE|PURCHASE_BOOK|L1|PURCHASE|RM1|LOCAL BADAM</t>
  </si>
  <si>
    <t>PURCHASE|PURCHASE_BOOK|L1|PURCHASE|RM1|ROLL DALCHINI</t>
  </si>
  <si>
    <t>PURCHASE|PURCHASE_BOOK|L1|PURCHASE|RM1|DHANIYA</t>
  </si>
  <si>
    <t>PURCHASE|PURCHASE_BOOK|548|PURCHASE|RM1|MASS DAL</t>
  </si>
  <si>
    <t>PURCHASE|PURCHASE_BOOK|548|PURCHASE|RM1|MASUR (AUSTRALIAN)</t>
  </si>
  <si>
    <t>PURCHASE|PURCHASE_BOOK|548|PURCHASE|RM1|BHATMAS (SETO THULO)</t>
  </si>
  <si>
    <t>PURCHASE|PURCHASE_BOOK|548|PURCHASE|RM1|BHATMAS ( KALO THULO)</t>
  </si>
  <si>
    <t>PURCHASE|PURCHASE_BOOK|548|PURCHASE|RM1|POPCORN</t>
  </si>
  <si>
    <t>PURCHASE|PURCHASE_BOOK|548|PURCHASE|RM1|RAHAR DAL (KHOSTA)</t>
  </si>
  <si>
    <t>PURCHASE|PURCHASE_BOOK|548|PURCHASE|RM1|MOONG DAL CHATA</t>
  </si>
  <si>
    <t>PURCHASE|PURCHASE_BOOK|548|PURCHASE|RM1|CHANA</t>
  </si>
  <si>
    <t>PURCHASE|PURCHASE_BOOK|548|PURCHASE|RM1|KERAU (SETO)</t>
  </si>
  <si>
    <t>PURCHASE|PURCHASE_BOOK|548|PURCHASE|RM1|CHANA DAL</t>
  </si>
  <si>
    <t>PURCHASE|PURCHASE_BOOK|548|PURCHASE|RM1|KERAU (HARIYO)</t>
  </si>
  <si>
    <t>PURCHASE|PURCHASE_BOOK|360|PURCHASE|RM1|BHATMAS (SETO)</t>
  </si>
  <si>
    <t>PURCHASE|PURCHASE_BOOK|360|PURCHASE|RM1|BHATMAS (KALO)</t>
  </si>
  <si>
    <t>PURCHASE|PURCHASE_BOOK|360|PURCHASE|RM1|MOONG DAL KHOSTA</t>
  </si>
  <si>
    <t>PURCHASE|PURCHASE_BOOK|360|PURCHASE|RM1|CHAMAL</t>
  </si>
  <si>
    <t>PURCHASE|PURCHASE_BOOK|360|PURCHASE|RM1|MASUR DAL</t>
  </si>
  <si>
    <t>PURCHASE|PURCHASE_BOOK|360|PURCHASE|RM1|MASS DAL</t>
  </si>
  <si>
    <t>PURCHASE|PURCHASE_BOOK|360|PURCHASE|RM1|TIL (KHAIRO)</t>
  </si>
  <si>
    <t>PURCHASE|PURCHASE_BOOK|360|PURCHASE|RM1|KINUWA</t>
  </si>
  <si>
    <t>PURCHASE|PURCHASE_BOOK|360|PURCHASE|RM1|FAPAR</t>
  </si>
  <si>
    <t>PURCHASE|PURCHASE_BOOK|360|PURCHASE|RM1|MOONG DAL CHATA</t>
  </si>
  <si>
    <t>PURCHASE|PURCHASE_BOOK|360|PURCHASE|RM1|KERAU (SETO)</t>
  </si>
  <si>
    <t>PURCHASE|PURCHASE_BOOK|419|PURCHASE|RM1|REPSEED (TORI)</t>
  </si>
  <si>
    <t>PURCHASE|PURCHASE_BOOK|410|PURCHASE|RM1|REPSEED (TORI)</t>
  </si>
  <si>
    <t>PURCHASE|PURCHASE_BOOK|1157|PURCHASE|RM1|BHATMAS (SETO)</t>
  </si>
  <si>
    <t>PURCHASE|PURCHASE_BOOK|1157|PURCHASE|RM1|BHATMAS (KALO)</t>
  </si>
  <si>
    <t>PURCHASE|PURCHASE_BOOK|1157|PURCHASE|RM1|MOONG DAL KHOSTA</t>
  </si>
  <si>
    <t>PURCHASE|PURCHASE_BOOK|1157|PURCHASE|RM1|CHAMAL</t>
  </si>
  <si>
    <t>PURCHASE|PURCHASE_BOOK|1157|PURCHASE|RM1|MASUR DAL</t>
  </si>
  <si>
    <t>PURCHASE|PURCHASE_BOOK|1157|PURCHASE|RM1|MASS DAL</t>
  </si>
  <si>
    <t>PURCHASE|PURCHASE_BOOK|1157|PURCHASE|RM1|FAPAR</t>
  </si>
  <si>
    <t>PURCHASE|PURCHASE_BOOK|2838|PURCHASE|RM1|MASS DAL</t>
  </si>
  <si>
    <t>PURCHASE|PURCHASE_BOOK|2838|PURCHASE|RM1|MASUR DAL</t>
  </si>
  <si>
    <t>PURCHASE|PURCHASE_BOOK|2838|PURCHASE|RM1|BHATMAS (SETO)</t>
  </si>
  <si>
    <t>PURCHASE|PURCHASE_BOOK|2838|PURCHASE|RM1|BHATMAS (KALO)</t>
  </si>
  <si>
    <t>PURCHASE|PURCHASE_BOOK|2838|PURCHASE|RM1|POPCORN</t>
  </si>
  <si>
    <t>PURCHASE|PURCHASE_BOOK|2838|PURCHASE|RM1|RAHAR DAL</t>
  </si>
  <si>
    <t>PURCHASE|PURCHASE_BOOK|2838|PURCHASE|RM1|MOONG DAL CHATA</t>
  </si>
  <si>
    <t>PURCHASE|PURCHASE_BOOK|2838|PURCHASE|RM1|CHANA</t>
  </si>
  <si>
    <t>PURCHASE|PURCHASE_BOOK|2838|PURCHASE|RM1|CHANA DAL</t>
  </si>
  <si>
    <t>PURCHASE|PURCHASE_BOOK|390|PURCHASE|RM1|REPSEED (TORI)</t>
  </si>
  <si>
    <t>PURCHASE|PURCHASE_BOOK|424|PURCHASE|RM1|REPSEED (TORI)</t>
  </si>
  <si>
    <t>TORI KO TEL</t>
  </si>
  <si>
    <t>PINA- TORI</t>
  </si>
  <si>
    <t>Consumption</t>
  </si>
  <si>
    <t>Production</t>
  </si>
  <si>
    <t>Byproduction</t>
  </si>
  <si>
    <t>FG_Master</t>
  </si>
  <si>
    <t>|FG_MASTER||OPENING|FG1|TORI KO TEL</t>
  </si>
  <si>
    <t>BP_Master</t>
  </si>
  <si>
    <t>|BP_MASTER||OPENING|BP1|PINA- TORI</t>
  </si>
  <si>
    <t>Production_Journal</t>
  </si>
  <si>
    <t>|PRODUCTION_JOURNAL|1|CONSUMPTION|RM1|TORI GEDA- OP</t>
  </si>
  <si>
    <t>|PRODUCTION_JOURNAL|1|PRODUCTION|FG1|TORI KO TEL</t>
  </si>
  <si>
    <t>|PRODUCTION_JOURNAL|1|BYPRODUCTION|BP1|PINA- TORI</t>
  </si>
  <si>
    <t>PURCHASE|PURCHASE_BOOK|11|PURCHASE|RM1|REPSEED (TORI)</t>
  </si>
  <si>
    <t>FG &amp; Byproduct Stock Report</t>
  </si>
  <si>
    <t>Category</t>
  </si>
  <si>
    <t>Opening Amount</t>
  </si>
  <si>
    <t>Production Qty</t>
  </si>
  <si>
    <t>Prod. Rate</t>
  </si>
  <si>
    <t>Production Amount</t>
  </si>
  <si>
    <t>Sales Qty</t>
  </si>
  <si>
    <t>COGS Rate</t>
  </si>
  <si>
    <t>COGS Amount</t>
  </si>
  <si>
    <t>Sales Rate</t>
  </si>
  <si>
    <t>Sales Amount</t>
  </si>
  <si>
    <t>Gross Profit</t>
  </si>
  <si>
    <t>GP %</t>
  </si>
  <si>
    <t>A</t>
  </si>
  <si>
    <t>Customer</t>
  </si>
  <si>
    <t>Cash Customer</t>
  </si>
  <si>
    <t>CC-1</t>
  </si>
  <si>
    <t>Sale</t>
  </si>
  <si>
    <t>B</t>
  </si>
  <si>
    <t>CC-2</t>
  </si>
  <si>
    <t>C</t>
  </si>
  <si>
    <t>CC-3</t>
  </si>
  <si>
    <t>D</t>
  </si>
  <si>
    <t>CC-4</t>
  </si>
  <si>
    <t>E</t>
  </si>
  <si>
    <t>CC-5</t>
  </si>
  <si>
    <t>F</t>
  </si>
  <si>
    <t>CC-6</t>
  </si>
  <si>
    <t>G</t>
  </si>
  <si>
    <t>CC-7</t>
  </si>
  <si>
    <t>H</t>
  </si>
  <si>
    <t>CC-8</t>
  </si>
  <si>
    <t>I</t>
  </si>
  <si>
    <t>CC-9</t>
  </si>
  <si>
    <t>Sales</t>
  </si>
  <si>
    <t>Sales_Book</t>
  </si>
  <si>
    <t>SALE|SALES_BOOK|A|SALES|FG1|TORI KO TEL</t>
  </si>
  <si>
    <t>SALE|SALES_BOOK|B|SALES|FG1|TORI KO TEL</t>
  </si>
  <si>
    <t>SALE|SALES_BOOK|C|SALES|FG1|TORI KO TEL</t>
  </si>
  <si>
    <t>SALE|SALES_BOOK|D|SALES|FG1|TORI KO TEL</t>
  </si>
  <si>
    <t>SALE|SALES_BOOK|E|SALES|FG1|TORI KO TEL</t>
  </si>
  <si>
    <t>SALE|SALES_BOOK|F|SALES|FG1|TORI KO TEL</t>
  </si>
  <si>
    <t>SALE|SALES_BOOK|G|SALES|FG1|TORI KO TEL</t>
  </si>
  <si>
    <t>SALE|SALES_BOOK|H|SALES|FG1|TORI KO TEL</t>
  </si>
  <si>
    <t>SALE|SALES_BOOK|I|SALES|FG1|TORI KO TEL</t>
  </si>
  <si>
    <t>Fiscal Year</t>
  </si>
  <si>
    <t>Workers</t>
  </si>
  <si>
    <t>Wage/Worker</t>
  </si>
  <si>
    <t>Total Rate/Ltr</t>
  </si>
  <si>
    <t>Status</t>
  </si>
  <si>
    <t>2082-83</t>
  </si>
  <si>
    <t>Output (Ltrs)</t>
  </si>
  <si>
    <t>Direct Wages</t>
  </si>
  <si>
    <t>OH-Power</t>
  </si>
  <si>
    <t>OH-Fuel</t>
  </si>
  <si>
    <t>OH-Maint</t>
  </si>
  <si>
    <t>OH-Other</t>
  </si>
  <si>
    <t>Total OH</t>
  </si>
  <si>
    <t>Prelim Output</t>
  </si>
  <si>
    <t>Prelim Wages</t>
  </si>
  <si>
    <t>Prelim Power</t>
  </si>
  <si>
    <t>Prelim Fuel</t>
  </si>
  <si>
    <t>Prelim Maint</t>
  </si>
  <si>
    <t>Prelim Other</t>
  </si>
  <si>
    <t>Prelim Total OH</t>
  </si>
  <si>
    <t>OH Variance</t>
  </si>
  <si>
    <t>PRELIMINARY</t>
  </si>
  <si>
    <t>FINAL</t>
  </si>
  <si>
    <t>OH Rate/Ltr</t>
  </si>
  <si>
    <t>RM Cost (Auto)</t>
  </si>
  <si>
    <t>Total Cost</t>
  </si>
  <si>
    <t>Prelim OH Rate</t>
  </si>
  <si>
    <t>OH Amount</t>
  </si>
  <si>
    <t>Full Cost (RM+OH)</t>
  </si>
  <si>
    <t>Full Rate/Ltr</t>
  </si>
  <si>
    <t>Cost Status</t>
  </si>
  <si>
    <t>Prelim OH Amt</t>
  </si>
  <si>
    <t>Final OH Amt</t>
  </si>
  <si>
    <t>FG-Rahar Dal</t>
  </si>
  <si>
    <t>|FG_MASTER||OPENING|FG1|FG-RAHAR DAL</t>
  </si>
  <si>
    <t>|PRODUCTION_JOURNAL|5|CONSUMPTION|RM1|REPSEED (TORI)</t>
  </si>
  <si>
    <t>|PRODUCTION_JOURNAL|5|PRODUCTION|FG1|TORI KO TEL</t>
  </si>
  <si>
    <t>|PRODUCTION_JOURNAL|5|BYPRODUCTION|BP1|PINA- TORI</t>
  </si>
  <si>
    <t>Baisakh</t>
  </si>
  <si>
    <t>|PRODUCTION_JOURNAL|2|CONSUMPTION|RM1|REPSEED (TORI)</t>
  </si>
  <si>
    <t>|PRODUCTION_JOURNAL|2|PRODUCTION|FG1|TORI KO TEL</t>
  </si>
  <si>
    <t>|PRODUCTION_JOURNAL|2|BYPRODUCTION|BP1|PINA- TORI</t>
  </si>
  <si>
    <t>|PRODUCTION_JOURNAL|3|CONSUMPTION|RM1|REPSEED (TORI)</t>
  </si>
  <si>
    <t>|PRODUCTION_JOURNAL|3|PRODUCTION|FG1|TORI KO TEL</t>
  </si>
  <si>
    <t>|PRODUCTION_JOURNAL|3|BYPRODUCTION|BP1|PINA- TORI</t>
  </si>
  <si>
    <t>|PRODUCTION_JOURNAL|4|CONSUMPTION|RM1|REPSEED (TORI)</t>
  </si>
  <si>
    <t>|PRODUCTION_JOURNAL|4|PRODUCTION|FG1|TORI KO TEL</t>
  </si>
  <si>
    <t>|PRODUCTION_JOURNAL|4|BYPRODUCTION|BP1|PINA- TORI</t>
  </si>
  <si>
    <t>|PRODUCTION_JOURNAL|6|CONSUMPTION|RM1|REPSEED (TORI)</t>
  </si>
  <si>
    <t>|PRODUCTION_JOURNAL|6|PRODUCTION|FG1|TORI KO TEL</t>
  </si>
  <si>
    <t>|PRODUCTION_JOURNAL|6|BYPRODUCTION|BP1|PINA- TORI</t>
  </si>
  <si>
    <t>|PRODUCTION_JOURNAL|7|CONSUMPTION|RM1|REPSEED (TORI)</t>
  </si>
  <si>
    <t>|PRODUCTION_JOURNAL|7|PRODUCTION|FG1|TORI KO TEL</t>
  </si>
  <si>
    <t>|PRODUCTION_JOURNAL|7|BYPRODUCTION|BP1|PINA- TORI</t>
  </si>
  <si>
    <t>|PRODUCTION_JOURNAL|8|CONSUMPTION|RM1|REPSEED (TORI)</t>
  </si>
  <si>
    <t>|PRODUCTION_JOURNAL|8|PRODUCTION|FG1|TORI KO TEL</t>
  </si>
  <si>
    <t>|PRODUCTION_JOURNAL|8|BYPRODUCTION|BP1|PINA- TORI</t>
  </si>
  <si>
    <t>|PRODUCTION_JOURNAL|9|CONSUMPTION|RM1|REPSEED (TORI)</t>
  </si>
  <si>
    <t>|PRODUCTION_JOURNAL|9|PRODUCTION|FG1|TORI KO TEL</t>
  </si>
  <si>
    <t>|PRODUCTION_JOURNAL|9|BYPRODUCTION|BP1|PINA- TORI</t>
  </si>
  <si>
    <t>|PRODUCTION_JOURNAL|10|CONSUMPTION|RM1|REPSEED (TORI)</t>
  </si>
  <si>
    <t>|PRODUCTION_JOURNAL|10|PRODUCTION|FG1|TORI KO TEL</t>
  </si>
  <si>
    <t>|PRODUCTION_JOURNAL|10|BYPRODUCTION|BP1|PINA- TORI</t>
  </si>
  <si>
    <t>|PRODUCTION_JOURNAL|11|CONSUMPTION|RM1|REPSEED (TORI)</t>
  </si>
  <si>
    <t>|PRODUCTION_JOURNAL|11|PRODUCTION|FG1|TORI KO TEL</t>
  </si>
  <si>
    <t>|PRODUCTION_JOURNAL|11|BYPRODUCTION|BP1|PINA- TORI</t>
  </si>
  <si>
    <t>|PRODUCTION_JOURNAL|12|CONSUMPTION|RM1|REPSEED (TORI)</t>
  </si>
  <si>
    <t>|PRODUCTION_JOURNAL|12|PRODUCTION|FG1|TORI KO TEL</t>
  </si>
  <si>
    <t>|PRODUCTION_JOURNAL|12|BYPRODUCTION|BP1|PINA- TORI</t>
  </si>
  <si>
    <t>|PRODUCTION_JOURNAL|13|CONSUMPTION|RM1|REPSEED (TORI)</t>
  </si>
  <si>
    <t>|PRODUCTION_JOURNAL|13|PRODUCTION|FG1|TORI KO TEL</t>
  </si>
  <si>
    <t>|PRODUCTION_JOURNAL|13|BYPRODUCTION|BP1|PINA- TORI</t>
  </si>
  <si>
    <t>|PRODUCTION_JOURNAL|14|CONSUMPTION|RM1|REPSEED (TORI)</t>
  </si>
  <si>
    <t>|PRODUCTION_JOURNAL|14|PRODUCTION|FG1|TORI KO TEL</t>
  </si>
  <si>
    <t>|PRODUCTION_JOURNAL|14|BYPRODUCTION|BP1|PINA- TORI</t>
  </si>
  <si>
    <t>|PRODUCTION_JOURNAL|15|CONSUMPTION|RM1|REPSEED (TORI)</t>
  </si>
  <si>
    <t>|PRODUCTION_JOURNAL|15|PRODUCTION|FG1|TORI KO TEL</t>
  </si>
  <si>
    <t>|PRODUCTION_JOURNAL|15|BYPRODUCTION|BP1|PINA- TORI</t>
  </si>
  <si>
    <t>|PRODUCTION_JOURNAL|16|CONSUMPTION|RM1|REPSEED (TORI)</t>
  </si>
  <si>
    <t>|PRODUCTION_JOURNAL|16|PRODUCTION|FG1|TORI KO TEL</t>
  </si>
  <si>
    <t>|PRODUCTION_JOURNAL|16|BYPRODUCTION|BP1|PINA- TORI</t>
  </si>
  <si>
    <t>|PRODUCTION_JOURNAL|17|CONSUMPTION|RM1|REPSEED (TORI)</t>
  </si>
  <si>
    <t>|PRODUCTION_JOURNAL|17|PRODUCTION|FG1|TORI KO TEL</t>
  </si>
  <si>
    <t>|PRODUCTION_JOURNAL|17|BYPRODUCTION|BP1|PINA- TORI</t>
  </si>
  <si>
    <t>|PRODUCTION_JOURNAL|18|CONSUMPTION|RM1|REPSEED (TORI)</t>
  </si>
  <si>
    <t>|PRODUCTION_JOURNAL|18|PRODUCTION|FG1|TORI KO TEL</t>
  </si>
  <si>
    <t>|PRODUCTION_JOURNAL|18|BYPRODUCTION|BP1|PINA- TORI</t>
  </si>
  <si>
    <t>|PRODUCTION_JOURNAL|19|CONSUMPTION|RM1|REPSEED (TORI)</t>
  </si>
  <si>
    <t>|PRODUCTION_JOURNAL|19|PRODUCTION|FG1|TORI KO TEL</t>
  </si>
  <si>
    <t>|PRODUCTION_JOURNAL|19|BYPRODUCTION|BP1|PINA- TORI</t>
  </si>
  <si>
    <t>07/17/2025   to   04/29/2026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</si>
</sst>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.00_);_(* \(#,##0.00\);_(* \-??_);_(@_)"/>
    <numFmt numFmtId="165" formatCode="#,##0.0000"/>
    <numFmt numFmtId="166" formatCode="mm/dd/yyyy"/>
    <numFmt numFmtId="167" formatCode="dd/mm/yyyy"/>
  </numFmts>
  <fonts count="50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charset val="1"/>
    </font>
    <font>
      <b/>
      <sz val="11"/>
      <color theme="1"/>
      <name val="Cambria"/>
      <family val="1"/>
      <charset val="1"/>
    </font>
    <font>
      <b/>
      <sz val="11"/>
      <color theme="1"/>
      <name val="Cambria"/>
      <family val="1"/>
    </font>
    <font>
      <sz val="11"/>
      <color theme="1"/>
      <name val="Cambria"/>
      <family val="1"/>
    </font>
    <font>
      <b/>
      <sz val="11"/>
      <color theme="0"/>
      <name val="Cambria"/>
      <family val="1"/>
    </font>
    <font>
      <sz val="11"/>
      <color theme="1"/>
      <name val="Calibri"/>
      <family val="2"/>
    </font>
    <font>
      <u/>
      <sz val="11"/>
      <color theme="10"/>
      <name val="Calibri"/>
      <family val="2"/>
      <charset val="1"/>
    </font>
    <font>
      <b/>
      <sz val="14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theme="0"/>
      <name val="Book Antiqua"/>
      <family val="1"/>
    </font>
    <font>
      <sz val="11"/>
      <color theme="1"/>
      <name val="Book Antiqua"/>
      <family val="1"/>
    </font>
    <font>
      <b/>
      <sz val="11"/>
      <color theme="1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color rgb="FF0000FF"/>
      <name val="Calibri"/>
      <family val="2"/>
    </font>
    <font>
      <b/>
      <sz val="11"/>
      <color rgb="FF1F4E79"/>
      <name val="Calibri"/>
      <family val="2"/>
    </font>
    <font>
      <b/>
      <sz val="11"/>
      <color rgb="FFFFFFFF"/>
      <name val="Cambria"/>
      <family val="1"/>
    </font>
    <font>
      <b/>
      <sz val="12"/>
      <color theme="1"/>
      <name val="Calibri"/>
      <family val="2"/>
    </font>
    <font>
      <b/>
      <sz val="12"/>
      <color rgb="FFFFFFFF"/>
      <name val="Calibri"/>
      <family val="2"/>
    </font>
    <font>
      <i/>
      <sz val="10"/>
      <color rgb="FF808080"/>
      <name val="Calibri"/>
      <family val="2"/>
    </font>
    <font>
      <b/>
      <sz val="12"/>
      <color rgb="FF0000FF"/>
      <name val="Calibri"/>
      <family val="2"/>
    </font>
    <font>
      <b/>
      <sz val="13"/>
      <color rgb="FF9C0006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Arial Black"/>
      <family val="2"/>
    </font>
    <font>
      <b/>
      <sz val="18"/>
      <color rgb="FFFFFFFF"/>
      <name val="Calibri"/>
      <family val="2"/>
    </font>
    <font>
      <b/>
      <sz val="18"/>
      <color theme="0"/>
      <name val="Times New Roman"/>
      <family val="1"/>
    </font>
    <font>
      <b/>
      <sz val="16"/>
      <color theme="0"/>
      <name val="Times New Roman"/>
      <family val="1"/>
    </font>
    <font>
      <b/>
      <sz val="18"/>
      <color theme="1"/>
      <name val="Times New Roman"/>
      <family val="1"/>
    </font>
    <font>
      <sz val="18"/>
      <color rgb="FF1B2A4A"/>
      <name val="Times New Roman"/>
      <family val="1"/>
    </font>
    <font>
      <sz val="18"/>
      <color theme="1"/>
      <name val="Times New Roman"/>
      <family val="1"/>
    </font>
    <font>
      <b/>
      <sz val="18"/>
      <name val="Times New Roman"/>
      <family val="1"/>
    </font>
    <font>
      <b/>
      <sz val="18"/>
      <color rgb="FF1B2A4A"/>
      <name val="Times New Roman"/>
      <family val="1"/>
    </font>
    <font>
      <b/>
      <sz val="14"/>
      <color theme="0"/>
      <name val="Times New Roman"/>
      <family val="1"/>
    </font>
    <font>
      <sz val="14"/>
      <color theme="1"/>
      <name val="Times New Roman"/>
      <family val="1"/>
    </font>
    <font>
      <sz val="16"/>
      <color theme="1"/>
      <name val="Times New Roman"/>
      <family val="1"/>
    </font>
    <font>
      <b/>
      <sz val="12"/>
      <color theme="0"/>
      <name val="Times New Roman"/>
      <family val="1"/>
    </font>
    <font>
      <sz val="14"/>
      <color theme="0"/>
      <name val="Times New Roman"/>
      <family val="1"/>
    </font>
    <font>
      <b/>
      <sz val="14"/>
      <color theme="1"/>
      <name val="Times New Roman"/>
      <family val="1"/>
    </font>
    <font>
      <b/>
      <sz val="16"/>
      <color rgb="FF0000FF"/>
      <name val="Calibri"/>
      <family val="2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sz val="10"/>
      <color theme="1"/>
      <name val="Times New Roman"/>
      <family val="1"/>
    </font>
    <font>
      <sz val="11"/>
      <color rgb="FF002060"/>
      <name val="Times New Roman"/>
      <family val="1"/>
    </font>
    <font>
      <sz val="9"/>
      <color theme="1"/>
      <name val="Times New Roman"/>
      <family val="1"/>
    </font>
    <font>
      <b/>
      <sz val="11"/>
      <color rgb="FFC00000"/>
      <name val="Calibri"/>
      <family val="2"/>
    </font>
    <font>
      <sz val="11"/>
      <color rgb="FF007000"/>
      <name val="Cambria"/>
      <family val="1"/>
    </font>
    <font>
      <i/>
      <sz val="9"/>
      <color rgb="FF007000"/>
      <name val="Calibri"/>
      <family val="2"/>
    </font>
    <font>
      <b/>
      <sz val="20"/>
      <color theme="0"/>
      <name val="Times New Roman"/>
      <family val="1"/>
    </font>
    <font>
      <b/>
      <sz val="14"/>
      <color theme="1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EBF4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783F04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E6"/>
        <bgColor indexed="64"/>
      </patternFill>
    </fill>
    <fill>
      <patternFill patternType="solid">
        <fgColor rgb="FFF8F9FC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0061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1B2A4A"/>
        <bgColor indexed="64"/>
      </patternFill>
    </fill>
    <fill>
      <patternFill patternType="solid">
        <fgColor rgb="FFE9ECF4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007000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FFFCEB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3">
    <xf numFmtId="0" fontId="0" fillId="0" borderId="0"/>
    <xf numFmtId="164" fontId="1" fillId="0" borderId="0"/>
    <xf numFmtId="0" fontId="7" fillId="0" borderId="0" applyNumberFormat="0" applyFill="0" applyBorder="0" applyAlignment="0" applyProtection="0"/>
  </cellStyleXfs>
  <cellXfs count="258">
    <xf numFmtId="0" fontId="0" fillId="0" borderId="0" xfId="0"/>
    <xf numFmtId="0" fontId="2" fillId="0" borderId="4" xfId="0" applyFont="1" applyBorder="1"/>
    <xf numFmtId="0" fontId="4" fillId="0" borderId="0" xfId="0" applyFont="1"/>
    <xf numFmtId="0" fontId="3" fillId="0" borderId="4" xfId="0" applyFont="1" applyBorder="1"/>
    <xf numFmtId="0" fontId="4" fillId="0" borderId="0" xfId="0" applyFont="1" applyAlignment="1">
      <alignment horizontal="center"/>
    </xf>
    <xf numFmtId="0" fontId="0" fillId="0" borderId="4" xfId="0" applyBorder="1"/>
    <xf numFmtId="14" fontId="0" fillId="0" borderId="0" xfId="0" applyNumberFormat="1"/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/>
    <xf numFmtId="0" fontId="13" fillId="6" borderId="0" xfId="0" applyFont="1" applyFill="1" applyAlignment="1">
      <alignment horizontal="center" wrapText="1"/>
    </xf>
    <xf numFmtId="0" fontId="12" fillId="7" borderId="0" xfId="0" applyFont="1" applyFill="1"/>
    <xf numFmtId="4" fontId="0" fillId="0" borderId="0" xfId="0" applyNumberFormat="1"/>
    <xf numFmtId="4" fontId="12" fillId="7" borderId="0" xfId="0" applyNumberFormat="1" applyFont="1" applyFill="1"/>
    <xf numFmtId="165" fontId="0" fillId="0" borderId="0" xfId="0" applyNumberFormat="1"/>
    <xf numFmtId="0" fontId="0" fillId="8" borderId="0" xfId="0" applyFill="1"/>
    <xf numFmtId="4" fontId="0" fillId="8" borderId="0" xfId="0" applyNumberFormat="1" applyFill="1"/>
    <xf numFmtId="165" fontId="0" fillId="8" borderId="0" xfId="0" applyNumberFormat="1" applyFill="1"/>
    <xf numFmtId="0" fontId="6" fillId="7" borderId="0" xfId="0" applyFont="1" applyFill="1"/>
    <xf numFmtId="4" fontId="6" fillId="7" borderId="0" xfId="0" applyNumberFormat="1" applyFont="1" applyFill="1"/>
    <xf numFmtId="165" fontId="6" fillId="7" borderId="0" xfId="0" applyNumberFormat="1" applyFont="1" applyFill="1"/>
    <xf numFmtId="0" fontId="6" fillId="0" borderId="0" xfId="0" applyFont="1"/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14" fontId="0" fillId="0" borderId="0" xfId="0" applyNumberFormat="1" applyFill="1"/>
    <xf numFmtId="0" fontId="12" fillId="0" borderId="0" xfId="0" applyFont="1" applyFill="1"/>
    <xf numFmtId="4" fontId="0" fillId="0" borderId="0" xfId="0" applyNumberFormat="1" applyFill="1"/>
    <xf numFmtId="165" fontId="0" fillId="0" borderId="0" xfId="0" applyNumberFormat="1" applyFill="1"/>
    <xf numFmtId="0" fontId="6" fillId="0" borderId="0" xfId="0" applyFont="1" applyFill="1"/>
    <xf numFmtId="4" fontId="6" fillId="0" borderId="0" xfId="0" applyNumberFormat="1" applyFont="1" applyFill="1"/>
    <xf numFmtId="165" fontId="6" fillId="0" borderId="0" xfId="0" applyNumberFormat="1" applyFont="1" applyFill="1"/>
    <xf numFmtId="0" fontId="6" fillId="8" borderId="0" xfId="0" applyFont="1" applyFill="1"/>
    <xf numFmtId="4" fontId="6" fillId="8" borderId="0" xfId="0" applyNumberFormat="1" applyFont="1" applyFill="1"/>
    <xf numFmtId="165" fontId="6" fillId="8" borderId="0" xfId="0" applyNumberFormat="1" applyFont="1" applyFill="1"/>
    <xf numFmtId="4" fontId="15" fillId="10" borderId="0" xfId="0" applyNumberFormat="1" applyFont="1" applyFill="1"/>
    <xf numFmtId="0" fontId="13" fillId="9" borderId="6" xfId="0" applyFont="1" applyFill="1" applyBorder="1" applyAlignment="1">
      <alignment horizontal="center" wrapText="1"/>
    </xf>
    <xf numFmtId="0" fontId="0" fillId="13" borderId="6" xfId="0" applyFill="1" applyBorder="1"/>
    <xf numFmtId="0" fontId="13" fillId="9" borderId="8" xfId="0" applyFont="1" applyFill="1" applyBorder="1" applyAlignment="1">
      <alignment horizontal="center" wrapText="1"/>
    </xf>
    <xf numFmtId="0" fontId="13" fillId="16" borderId="6" xfId="0" applyFont="1" applyFill="1" applyBorder="1" applyAlignment="1">
      <alignment horizontal="center" wrapText="1"/>
    </xf>
    <xf numFmtId="0" fontId="13" fillId="16" borderId="7" xfId="0" applyFont="1" applyFill="1" applyBorder="1" applyAlignment="1">
      <alignment horizontal="center" wrapText="1"/>
    </xf>
    <xf numFmtId="0" fontId="4" fillId="0" borderId="4" xfId="0" applyFont="1" applyBorder="1"/>
    <xf numFmtId="0" fontId="13" fillId="6" borderId="0" xfId="0" applyFont="1" applyFill="1"/>
    <xf numFmtId="0" fontId="18" fillId="0" borderId="0" xfId="0" applyFont="1"/>
    <xf numFmtId="4" fontId="6" fillId="0" borderId="0" xfId="0" applyNumberFormat="1" applyFont="1"/>
    <xf numFmtId="0" fontId="20" fillId="0" borderId="0" xfId="0" applyFont="1" applyFill="1"/>
    <xf numFmtId="0" fontId="0" fillId="12" borderId="6" xfId="0" applyFont="1" applyFill="1" applyBorder="1"/>
    <xf numFmtId="4" fontId="0" fillId="12" borderId="6" xfId="0" applyNumberFormat="1" applyFont="1" applyFill="1" applyBorder="1"/>
    <xf numFmtId="0" fontId="18" fillId="13" borderId="6" xfId="0" applyFont="1" applyFill="1" applyBorder="1"/>
    <xf numFmtId="4" fontId="18" fillId="13" borderId="6" xfId="0" applyNumberFormat="1" applyFont="1" applyFill="1" applyBorder="1"/>
    <xf numFmtId="0" fontId="18" fillId="13" borderId="7" xfId="0" applyFont="1" applyFill="1" applyBorder="1"/>
    <xf numFmtId="4" fontId="0" fillId="12" borderId="8" xfId="0" applyNumberFormat="1" applyFont="1" applyFill="1" applyBorder="1"/>
    <xf numFmtId="4" fontId="18" fillId="13" borderId="8" xfId="0" applyNumberFormat="1" applyFont="1" applyFill="1" applyBorder="1"/>
    <xf numFmtId="0" fontId="0" fillId="0" borderId="4" xfId="0" applyFill="1" applyBorder="1"/>
    <xf numFmtId="167" fontId="4" fillId="18" borderId="4" xfId="0" applyNumberFormat="1" applyFont="1" applyFill="1" applyBorder="1"/>
    <xf numFmtId="0" fontId="4" fillId="18" borderId="4" xfId="0" applyFont="1" applyFill="1" applyBorder="1"/>
    <xf numFmtId="0" fontId="4" fillId="18" borderId="4" xfId="0" applyFont="1" applyFill="1" applyBorder="1" applyAlignment="1">
      <alignment horizontal="center"/>
    </xf>
    <xf numFmtId="4" fontId="4" fillId="18" borderId="4" xfId="0" applyNumberFormat="1" applyFont="1" applyFill="1" applyBorder="1"/>
    <xf numFmtId="0" fontId="17" fillId="6" borderId="4" xfId="0" applyFont="1" applyFill="1" applyBorder="1" applyAlignment="1">
      <alignment horizontal="center" vertical="center" wrapText="1"/>
    </xf>
    <xf numFmtId="0" fontId="17" fillId="6" borderId="0" xfId="0" applyFont="1" applyFill="1" applyAlignment="1">
      <alignment horizontal="center" vertical="center" wrapText="1"/>
    </xf>
    <xf numFmtId="4" fontId="12" fillId="0" borderId="0" xfId="0" applyNumberFormat="1" applyFont="1" applyFill="1"/>
    <xf numFmtId="165" fontId="12" fillId="7" borderId="0" xfId="0" applyNumberFormat="1" applyFont="1" applyFill="1"/>
    <xf numFmtId="167" fontId="4" fillId="18" borderId="4" xfId="0" applyNumberFormat="1" applyFont="1" applyFill="1" applyBorder="1" applyAlignment="1">
      <alignment horizontal="center"/>
    </xf>
    <xf numFmtId="0" fontId="4" fillId="18" borderId="4" xfId="0" applyFont="1" applyFill="1" applyBorder="1" applyAlignment="1">
      <alignment horizontal="center" vertical="center"/>
    </xf>
    <xf numFmtId="4" fontId="4" fillId="18" borderId="4" xfId="0" applyNumberFormat="1" applyFont="1" applyFill="1" applyBorder="1" applyAlignment="1">
      <alignment horizontal="center" vertical="center"/>
    </xf>
    <xf numFmtId="0" fontId="4" fillId="0" borderId="0" xfId="0" applyFont="1" applyBorder="1"/>
    <xf numFmtId="0" fontId="13" fillId="6" borderId="4" xfId="0" applyFont="1" applyFill="1" applyBorder="1" applyAlignment="1">
      <alignment horizontal="center" vertical="center"/>
    </xf>
    <xf numFmtId="0" fontId="13" fillId="6" borderId="4" xfId="0" applyFont="1" applyFill="1" applyBorder="1" applyAlignment="1">
      <alignment horizontal="center"/>
    </xf>
    <xf numFmtId="0" fontId="13" fillId="6" borderId="4" xfId="0" applyFont="1" applyFill="1" applyBorder="1"/>
    <xf numFmtId="0" fontId="0" fillId="12" borderId="4" xfId="0" applyFill="1" applyBorder="1" applyAlignment="1">
      <alignment horizontal="center" vertical="center"/>
    </xf>
    <xf numFmtId="0" fontId="0" fillId="12" borderId="4" xfId="0" applyFill="1" applyBorder="1"/>
    <xf numFmtId="167" fontId="0" fillId="12" borderId="4" xfId="0" applyNumberFormat="1" applyFill="1" applyBorder="1"/>
    <xf numFmtId="4" fontId="0" fillId="12" borderId="4" xfId="0" applyNumberFormat="1" applyFill="1" applyBorder="1"/>
    <xf numFmtId="166" fontId="0" fillId="12" borderId="4" xfId="0" applyNumberFormat="1" applyFill="1" applyBorder="1"/>
    <xf numFmtId="0" fontId="0" fillId="0" borderId="4" xfId="0" applyBorder="1" applyAlignment="1">
      <alignment horizontal="center" vertical="center"/>
    </xf>
    <xf numFmtId="0" fontId="13" fillId="0" borderId="0" xfId="0" applyFont="1" applyFill="1"/>
    <xf numFmtId="0" fontId="13" fillId="0" borderId="0" xfId="0" applyFont="1" applyFill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4" xfId="0" applyFont="1" applyFill="1" applyBorder="1"/>
    <xf numFmtId="0" fontId="10" fillId="2" borderId="4" xfId="0" applyFont="1" applyFill="1" applyBorder="1" applyAlignment="1">
      <alignment horizontal="left"/>
    </xf>
    <xf numFmtId="14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164" fontId="1" fillId="0" borderId="4" xfId="1" applyBorder="1"/>
    <xf numFmtId="0" fontId="11" fillId="0" borderId="4" xfId="0" applyFont="1" applyBorder="1" applyAlignment="1">
      <alignment horizontal="left"/>
    </xf>
    <xf numFmtId="0" fontId="11" fillId="0" borderId="4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center"/>
    </xf>
    <xf numFmtId="22" fontId="11" fillId="0" borderId="4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14" fontId="4" fillId="0" borderId="4" xfId="0" applyNumberFormat="1" applyFont="1" applyBorder="1"/>
    <xf numFmtId="0" fontId="4" fillId="0" borderId="4" xfId="0" applyFont="1" applyBorder="1" applyAlignment="1">
      <alignment horizontal="left"/>
    </xf>
    <xf numFmtId="14" fontId="4" fillId="0" borderId="4" xfId="0" applyNumberFormat="1" applyFont="1" applyBorder="1" applyAlignment="1">
      <alignment horizontal="right"/>
    </xf>
    <xf numFmtId="167" fontId="0" fillId="19" borderId="4" xfId="0" applyNumberFormat="1" applyFont="1" applyFill="1" applyBorder="1" applyAlignment="1">
      <alignment horizontal="right"/>
    </xf>
    <xf numFmtId="0" fontId="0" fillId="19" borderId="4" xfId="0" applyFont="1" applyFill="1" applyBorder="1" applyAlignment="1">
      <alignment horizontal="right"/>
    </xf>
    <xf numFmtId="4" fontId="0" fillId="19" borderId="4" xfId="0" applyNumberFormat="1" applyFont="1" applyFill="1" applyBorder="1" applyAlignment="1">
      <alignment horizontal="right"/>
    </xf>
    <xf numFmtId="0" fontId="0" fillId="0" borderId="4" xfId="0" applyFont="1" applyBorder="1"/>
    <xf numFmtId="14" fontId="0" fillId="0" borderId="4" xfId="0" applyNumberFormat="1" applyBorder="1"/>
    <xf numFmtId="0" fontId="3" fillId="0" borderId="4" xfId="0" applyFont="1" applyBorder="1" applyAlignment="1">
      <alignment horizontal="center"/>
    </xf>
    <xf numFmtId="0" fontId="0" fillId="17" borderId="4" xfId="0" applyFill="1" applyBorder="1"/>
    <xf numFmtId="167" fontId="0" fillId="0" borderId="4" xfId="0" applyNumberFormat="1" applyBorder="1"/>
    <xf numFmtId="0" fontId="0" fillId="0" borderId="4" xfId="0" applyFill="1" applyBorder="1" applyAlignment="1">
      <alignment horizontal="center"/>
    </xf>
    <xf numFmtId="0" fontId="13" fillId="0" borderId="0" xfId="0" applyFont="1" applyFill="1" applyAlignment="1">
      <alignment horizontal="center" vertical="center"/>
    </xf>
    <xf numFmtId="0" fontId="0" fillId="17" borderId="4" xfId="0" applyFill="1" applyBorder="1" applyAlignment="1">
      <alignment horizontal="center"/>
    </xf>
    <xf numFmtId="0" fontId="26" fillId="2" borderId="0" xfId="0" applyFont="1" applyFill="1" applyAlignment="1">
      <alignment horizontal="center" vertical="center"/>
    </xf>
    <xf numFmtId="0" fontId="29" fillId="20" borderId="0" xfId="0" applyFont="1" applyFill="1" applyBorder="1"/>
    <xf numFmtId="0" fontId="28" fillId="21" borderId="0" xfId="0" applyFont="1" applyFill="1" applyAlignment="1">
      <alignment horizontal="center"/>
    </xf>
    <xf numFmtId="0" fontId="30" fillId="21" borderId="0" xfId="0" applyFont="1" applyFill="1"/>
    <xf numFmtId="0" fontId="32" fillId="20" borderId="0" xfId="0" applyFont="1" applyFill="1" applyBorder="1" applyAlignment="1">
      <alignment horizontal="center" vertical="center"/>
    </xf>
    <xf numFmtId="0" fontId="34" fillId="0" borderId="0" xfId="0" applyFont="1"/>
    <xf numFmtId="0" fontId="34" fillId="21" borderId="0" xfId="0" applyFont="1" applyFill="1"/>
    <xf numFmtId="0" fontId="33" fillId="2" borderId="4" xfId="0" applyFont="1" applyFill="1" applyBorder="1" applyAlignment="1">
      <alignment horizontal="center" vertical="center" wrapText="1"/>
    </xf>
    <xf numFmtId="0" fontId="34" fillId="0" borderId="4" xfId="0" applyFont="1" applyBorder="1" applyAlignment="1">
      <alignment vertical="center" wrapText="1"/>
    </xf>
    <xf numFmtId="0" fontId="34" fillId="0" borderId="4" xfId="0" applyFont="1" applyBorder="1"/>
    <xf numFmtId="0" fontId="35" fillId="0" borderId="0" xfId="0" applyFont="1"/>
    <xf numFmtId="0" fontId="27" fillId="2" borderId="4" xfId="0" applyFont="1" applyFill="1" applyBorder="1" applyAlignment="1">
      <alignment horizontal="center" vertical="center" wrapText="1"/>
    </xf>
    <xf numFmtId="0" fontId="35" fillId="0" borderId="4" xfId="0" applyFont="1" applyBorder="1" applyAlignment="1">
      <alignment vertical="center" wrapText="1"/>
    </xf>
    <xf numFmtId="14" fontId="35" fillId="0" borderId="4" xfId="0" applyNumberFormat="1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5" fillId="0" borderId="4" xfId="0" applyFont="1" applyFill="1" applyBorder="1"/>
    <xf numFmtId="0" fontId="35" fillId="0" borderId="4" xfId="0" applyFont="1" applyFill="1" applyBorder="1" applyAlignment="1">
      <alignment vertical="center"/>
    </xf>
    <xf numFmtId="14" fontId="35" fillId="0" borderId="4" xfId="0" applyNumberFormat="1" applyFont="1" applyFill="1" applyBorder="1" applyAlignment="1">
      <alignment horizontal="center" vertical="center" wrapText="1"/>
    </xf>
    <xf numFmtId="0" fontId="35" fillId="21" borderId="0" xfId="0" applyFont="1" applyFill="1"/>
    <xf numFmtId="0" fontId="35" fillId="0" borderId="10" xfId="0" applyFont="1" applyFill="1" applyBorder="1"/>
    <xf numFmtId="0" fontId="27" fillId="21" borderId="0" xfId="0" applyFont="1" applyFill="1" applyBorder="1" applyAlignment="1">
      <alignment horizontal="center" vertical="center" wrapText="1"/>
    </xf>
    <xf numFmtId="0" fontId="35" fillId="21" borderId="0" xfId="0" applyFont="1" applyFill="1" applyBorder="1"/>
    <xf numFmtId="0" fontId="35" fillId="0" borderId="3" xfId="0" applyFont="1" applyFill="1" applyBorder="1"/>
    <xf numFmtId="0" fontId="27" fillId="2" borderId="11" xfId="0" applyFont="1" applyFill="1" applyBorder="1" applyAlignment="1">
      <alignment horizontal="center" vertical="center" wrapText="1"/>
    </xf>
    <xf numFmtId="0" fontId="36" fillId="2" borderId="4" xfId="0" applyFont="1" applyFill="1" applyBorder="1" applyAlignment="1">
      <alignment horizontal="center" vertical="center" wrapText="1"/>
    </xf>
    <xf numFmtId="14" fontId="35" fillId="0" borderId="0" xfId="0" applyNumberFormat="1" applyFont="1"/>
    <xf numFmtId="0" fontId="35" fillId="0" borderId="4" xfId="0" applyFont="1" applyBorder="1"/>
    <xf numFmtId="0" fontId="33" fillId="2" borderId="0" xfId="0" applyFont="1" applyFill="1"/>
    <xf numFmtId="0" fontId="37" fillId="2" borderId="0" xfId="0" applyFont="1" applyFill="1"/>
    <xf numFmtId="14" fontId="38" fillId="0" borderId="4" xfId="0" applyNumberFormat="1" applyFont="1" applyBorder="1" applyAlignment="1">
      <alignment horizontal="center"/>
    </xf>
    <xf numFmtId="0" fontId="34" fillId="0" borderId="4" xfId="0" applyFont="1" applyBorder="1" applyAlignment="1">
      <alignment horizontal="center"/>
    </xf>
    <xf numFmtId="0" fontId="38" fillId="21" borderId="0" xfId="0" applyFont="1" applyFill="1"/>
    <xf numFmtId="0" fontId="38" fillId="0" borderId="0" xfId="0" applyFont="1"/>
    <xf numFmtId="0" fontId="38" fillId="0" borderId="4" xfId="0" applyFont="1" applyBorder="1" applyAlignment="1">
      <alignment horizontal="center"/>
    </xf>
    <xf numFmtId="0" fontId="33" fillId="2" borderId="4" xfId="0" applyFont="1" applyFill="1" applyBorder="1" applyAlignment="1">
      <alignment horizontal="center"/>
    </xf>
    <xf numFmtId="0" fontId="38" fillId="21" borderId="0" xfId="0" applyFont="1" applyFill="1" applyAlignment="1">
      <alignment horizontal="center"/>
    </xf>
    <xf numFmtId="0" fontId="38" fillId="0" borderId="0" xfId="0" applyFont="1" applyAlignment="1">
      <alignment horizontal="center"/>
    </xf>
    <xf numFmtId="0" fontId="34" fillId="3" borderId="4" xfId="0" applyFont="1" applyFill="1" applyBorder="1" applyAlignment="1">
      <alignment horizontal="center"/>
    </xf>
    <xf numFmtId="0" fontId="34" fillId="21" borderId="0" xfId="0" applyFont="1" applyFill="1" applyAlignment="1">
      <alignment horizontal="left" vertical="center"/>
    </xf>
    <xf numFmtId="0" fontId="38" fillId="21" borderId="0" xfId="0" applyFont="1" applyFill="1" applyAlignment="1">
      <alignment horizontal="left" vertical="center"/>
    </xf>
    <xf numFmtId="0" fontId="34" fillId="5" borderId="4" xfId="0" applyFont="1" applyFill="1" applyBorder="1" applyAlignment="1">
      <alignment horizontal="center"/>
    </xf>
    <xf numFmtId="0" fontId="34" fillId="4" borderId="4" xfId="0" applyFont="1" applyFill="1" applyBorder="1" applyAlignment="1">
      <alignment horizontal="center"/>
    </xf>
    <xf numFmtId="0" fontId="34" fillId="21" borderId="5" xfId="0" applyFont="1" applyFill="1" applyBorder="1" applyAlignment="1">
      <alignment horizontal="center"/>
    </xf>
    <xf numFmtId="0" fontId="38" fillId="0" borderId="0" xfId="0" applyFont="1" applyBorder="1" applyAlignment="1">
      <alignment horizontal="center"/>
    </xf>
    <xf numFmtId="0" fontId="34" fillId="21" borderId="0" xfId="0" applyFont="1" applyFill="1" applyAlignment="1">
      <alignment horizontal="center"/>
    </xf>
    <xf numFmtId="0" fontId="31" fillId="22" borderId="12" xfId="0" applyFont="1" applyFill="1" applyBorder="1" applyAlignment="1">
      <alignment horizontal="center" vertical="center"/>
    </xf>
    <xf numFmtId="0" fontId="31" fillId="22" borderId="13" xfId="0" applyFont="1" applyFill="1" applyBorder="1" applyAlignment="1">
      <alignment horizontal="center" vertical="center"/>
    </xf>
    <xf numFmtId="0" fontId="31" fillId="22" borderId="14" xfId="0" applyFont="1" applyFill="1" applyBorder="1" applyAlignment="1">
      <alignment horizontal="center" vertical="center"/>
    </xf>
    <xf numFmtId="0" fontId="28" fillId="21" borderId="17" xfId="0" applyFont="1" applyFill="1" applyBorder="1" applyAlignment="1">
      <alignment horizontal="center"/>
    </xf>
    <xf numFmtId="0" fontId="28" fillId="21" borderId="18" xfId="0" applyFont="1" applyFill="1" applyBorder="1" applyAlignment="1">
      <alignment horizontal="center"/>
    </xf>
    <xf numFmtId="0" fontId="30" fillId="21" borderId="19" xfId="0" applyFont="1" applyFill="1" applyBorder="1"/>
    <xf numFmtId="0" fontId="30" fillId="21" borderId="20" xfId="0" applyFont="1" applyFill="1" applyBorder="1"/>
    <xf numFmtId="0" fontId="28" fillId="0" borderId="21" xfId="0" applyFont="1" applyBorder="1" applyAlignment="1">
      <alignment vertical="center"/>
    </xf>
    <xf numFmtId="14" fontId="28" fillId="0" borderId="22" xfId="0" applyNumberFormat="1" applyFont="1" applyBorder="1" applyAlignment="1">
      <alignment horizontal="center" vertical="center"/>
    </xf>
    <xf numFmtId="0" fontId="28" fillId="21" borderId="19" xfId="0" applyFont="1" applyFill="1" applyBorder="1" applyAlignment="1">
      <alignment horizontal="center" vertical="center"/>
    </xf>
    <xf numFmtId="0" fontId="28" fillId="0" borderId="21" xfId="0" applyFont="1" applyBorder="1"/>
    <xf numFmtId="0" fontId="30" fillId="0" borderId="22" xfId="0" applyFont="1" applyBorder="1" applyAlignment="1">
      <alignment horizontal="center"/>
    </xf>
    <xf numFmtId="164" fontId="30" fillId="0" borderId="22" xfId="1" applyFont="1" applyBorder="1" applyAlignment="1">
      <alignment horizontal="center"/>
    </xf>
    <xf numFmtId="0" fontId="28" fillId="21" borderId="19" xfId="0" applyFont="1" applyFill="1" applyBorder="1"/>
    <xf numFmtId="0" fontId="30" fillId="21" borderId="23" xfId="0" applyFont="1" applyFill="1" applyBorder="1"/>
    <xf numFmtId="0" fontId="30" fillId="21" borderId="24" xfId="0" applyFont="1" applyFill="1" applyBorder="1"/>
    <xf numFmtId="0" fontId="40" fillId="0" borderId="0" xfId="0" applyFont="1"/>
    <xf numFmtId="0" fontId="41" fillId="0" borderId="0" xfId="0" applyFont="1"/>
    <xf numFmtId="0" fontId="43" fillId="0" borderId="0" xfId="0" applyFont="1"/>
    <xf numFmtId="0" fontId="44" fillId="0" borderId="0" xfId="0" applyFont="1"/>
    <xf numFmtId="0" fontId="42" fillId="0" borderId="0" xfId="0" applyFont="1"/>
    <xf numFmtId="0" fontId="44" fillId="0" borderId="0" xfId="0" applyFont="1" applyAlignment="1">
      <alignment vertical="center"/>
    </xf>
    <xf numFmtId="164" fontId="0" fillId="0" borderId="0" xfId="0" applyNumberFormat="1" applyFill="1"/>
    <xf numFmtId="43" fontId="6" fillId="0" borderId="0" xfId="0" applyNumberFormat="1" applyFont="1" applyFill="1"/>
    <xf numFmtId="0" fontId="18" fillId="0" borderId="0" xfId="0" applyFont="1" applyFill="1"/>
    <xf numFmtId="0" fontId="0" fillId="23" borderId="6" xfId="0" applyFont="1" applyFill="1" applyBorder="1"/>
    <xf numFmtId="4" fontId="0" fillId="23" borderId="6" xfId="0" applyNumberFormat="1" applyFont="1" applyFill="1" applyBorder="1"/>
    <xf numFmtId="0" fontId="0" fillId="23" borderId="7" xfId="0" applyFont="1" applyFill="1" applyBorder="1"/>
    <xf numFmtId="165" fontId="12" fillId="0" borderId="0" xfId="0" applyNumberFormat="1" applyFont="1" applyFill="1"/>
    <xf numFmtId="0" fontId="3" fillId="0" borderId="4" xfId="0" applyFont="1" applyBorder="1" applyAlignment="1">
      <alignment horizontal="left"/>
    </xf>
    <xf numFmtId="167" fontId="4" fillId="19" borderId="4" xfId="0" applyNumberFormat="1" applyFont="1" applyFill="1" applyBorder="1" applyAlignment="1">
      <alignment horizontal="right"/>
    </xf>
    <xf numFmtId="0" fontId="4" fillId="19" borderId="4" xfId="0" applyFont="1" applyFill="1" applyBorder="1" applyAlignment="1">
      <alignment horizontal="right"/>
    </xf>
    <xf numFmtId="4" fontId="4" fillId="19" borderId="4" xfId="0" applyNumberFormat="1" applyFont="1" applyFill="1" applyBorder="1" applyAlignment="1">
      <alignment horizontal="right"/>
    </xf>
    <xf numFmtId="167" fontId="0" fillId="17" borderId="4" xfId="0" applyNumberFormat="1" applyFill="1" applyBorder="1" applyAlignment="1">
      <alignment horizontal="center"/>
    </xf>
    <xf numFmtId="4" fontId="0" fillId="17" borderId="4" xfId="0" applyNumberFormat="1" applyFill="1" applyBorder="1"/>
    <xf numFmtId="0" fontId="7" fillId="0" borderId="4" xfId="2" applyBorder="1" applyAlignment="1">
      <alignment vertical="center" wrapText="1"/>
    </xf>
    <xf numFmtId="14" fontId="35" fillId="0" borderId="0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167" fontId="4" fillId="3" borderId="4" xfId="0" applyNumberFormat="1" applyFont="1" applyFill="1" applyBorder="1"/>
    <xf numFmtId="0" fontId="4" fillId="3" borderId="4" xfId="0" applyFont="1" applyFill="1" applyBorder="1" applyAlignment="1">
      <alignment horizontal="center"/>
    </xf>
    <xf numFmtId="0" fontId="4" fillId="3" borderId="4" xfId="0" applyFont="1" applyFill="1" applyBorder="1"/>
    <xf numFmtId="4" fontId="4" fillId="3" borderId="4" xfId="0" applyNumberFormat="1" applyFont="1" applyFill="1" applyBorder="1"/>
    <xf numFmtId="0" fontId="4" fillId="0" borderId="0" xfId="0" applyFont="1" applyFill="1"/>
    <xf numFmtId="0" fontId="0" fillId="12" borderId="4" xfId="0" applyFont="1" applyFill="1" applyBorder="1"/>
    <xf numFmtId="4" fontId="0" fillId="12" borderId="4" xfId="0" applyNumberFormat="1" applyFont="1" applyFill="1" applyBorder="1"/>
    <xf numFmtId="0" fontId="4" fillId="3" borderId="4" xfId="0" applyFont="1" applyFill="1" applyBorder="1" applyAlignment="1">
      <alignment horizontal="center" vertical="center"/>
    </xf>
    <xf numFmtId="165" fontId="0" fillId="17" borderId="0" xfId="0" applyNumberFormat="1" applyFill="1"/>
    <xf numFmtId="4" fontId="0" fillId="17" borderId="0" xfId="0" applyNumberFormat="1" applyFill="1"/>
    <xf numFmtId="165" fontId="12" fillId="25" borderId="0" xfId="0" applyNumberFormat="1" applyFont="1" applyFill="1"/>
    <xf numFmtId="4" fontId="12" fillId="25" borderId="0" xfId="0" applyNumberFormat="1" applyFont="1" applyFill="1"/>
    <xf numFmtId="167" fontId="0" fillId="12" borderId="4" xfId="0" applyNumberFormat="1" applyFont="1" applyFill="1" applyBorder="1"/>
    <xf numFmtId="0" fontId="13" fillId="26" borderId="0" xfId="0" applyFont="1" applyFill="1"/>
    <xf numFmtId="14" fontId="4" fillId="28" borderId="4" xfId="0" applyNumberFormat="1" applyFont="1" applyFill="1" applyBorder="1"/>
    <xf numFmtId="0" fontId="4" fillId="28" borderId="4" xfId="0" applyFont="1" applyFill="1" applyBorder="1" applyAlignment="1">
      <alignment horizontal="center"/>
    </xf>
    <xf numFmtId="0" fontId="4" fillId="28" borderId="4" xfId="0" applyFont="1" applyFill="1" applyBorder="1"/>
    <xf numFmtId="0" fontId="4" fillId="28" borderId="4" xfId="0" applyFont="1" applyFill="1" applyBorder="1" applyAlignment="1">
      <alignment horizontal="left"/>
    </xf>
    <xf numFmtId="0" fontId="17" fillId="29" borderId="4" xfId="0" applyFont="1" applyFill="1" applyBorder="1" applyAlignment="1">
      <alignment horizontal="center"/>
    </xf>
    <xf numFmtId="0" fontId="17" fillId="9" borderId="4" xfId="0" applyFont="1" applyFill="1" applyBorder="1" applyAlignment="1">
      <alignment horizontal="center"/>
    </xf>
    <xf numFmtId="2" fontId="4" fillId="28" borderId="4" xfId="0" applyNumberFormat="1" applyFont="1" applyFill="1" applyBorder="1"/>
    <xf numFmtId="4" fontId="4" fillId="28" borderId="4" xfId="0" applyNumberFormat="1" applyFont="1" applyFill="1" applyBorder="1"/>
    <xf numFmtId="4" fontId="4" fillId="0" borderId="4" xfId="0" applyNumberFormat="1" applyFont="1" applyBorder="1"/>
    <xf numFmtId="4" fontId="46" fillId="28" borderId="4" xfId="0" applyNumberFormat="1" applyFont="1" applyFill="1" applyBorder="1"/>
    <xf numFmtId="14" fontId="0" fillId="28" borderId="4" xfId="0" applyNumberFormat="1" applyFill="1" applyBorder="1" applyAlignment="1">
      <alignment horizontal="center"/>
    </xf>
    <xf numFmtId="0" fontId="0" fillId="28" borderId="4" xfId="0" applyFill="1" applyBorder="1"/>
    <xf numFmtId="4" fontId="0" fillId="28" borderId="4" xfId="0" applyNumberFormat="1" applyFill="1" applyBorder="1"/>
    <xf numFmtId="0" fontId="0" fillId="28" borderId="4" xfId="0" applyFill="1" applyBorder="1" applyAlignment="1">
      <alignment horizontal="left"/>
    </xf>
    <xf numFmtId="0" fontId="0" fillId="28" borderId="4" xfId="0" applyFill="1" applyBorder="1" applyAlignment="1">
      <alignment horizontal="center"/>
    </xf>
    <xf numFmtId="0" fontId="13" fillId="26" borderId="4" xfId="0" applyFont="1" applyFill="1" applyBorder="1"/>
    <xf numFmtId="0" fontId="13" fillId="29" borderId="4" xfId="0" applyFont="1" applyFill="1" applyBorder="1"/>
    <xf numFmtId="0" fontId="13" fillId="9" borderId="4" xfId="0" applyFont="1" applyFill="1" applyBorder="1"/>
    <xf numFmtId="0" fontId="0" fillId="27" borderId="4" xfId="0" applyFill="1" applyBorder="1"/>
    <xf numFmtId="4" fontId="0" fillId="27" borderId="4" xfId="0" applyNumberFormat="1" applyFill="1" applyBorder="1"/>
    <xf numFmtId="2" fontId="0" fillId="27" borderId="4" xfId="0" applyNumberFormat="1" applyFill="1" applyBorder="1"/>
    <xf numFmtId="2" fontId="0" fillId="28" borderId="4" xfId="0" applyNumberFormat="1" applyFill="1" applyBorder="1"/>
    <xf numFmtId="4" fontId="47" fillId="0" borderId="0" xfId="0" applyNumberFormat="1" applyFont="1" applyFill="1"/>
    <xf numFmtId="4" fontId="45" fillId="30" borderId="4" xfId="0" applyNumberFormat="1" applyFont="1" applyFill="1" applyBorder="1"/>
    <xf numFmtId="0" fontId="13" fillId="6" borderId="0" xfId="0" applyFont="1" applyFill="1" applyAlignment="1">
      <alignment horizontal="center" vertical="center" wrapText="1"/>
    </xf>
    <xf numFmtId="0" fontId="13" fillId="24" borderId="0" xfId="0" applyFont="1" applyFill="1" applyAlignment="1">
      <alignment horizontal="center" vertical="center" wrapText="1"/>
    </xf>
    <xf numFmtId="0" fontId="0" fillId="0" borderId="0" xfId="0" applyFill="1" applyAlignment="1">
      <alignment vertical="center"/>
    </xf>
    <xf numFmtId="164" fontId="1" fillId="0" borderId="0" xfId="1"/>
    <xf numFmtId="0" fontId="26" fillId="2" borderId="15" xfId="0" applyFont="1" applyFill="1" applyBorder="1" applyAlignment="1">
      <alignment horizontal="center" vertical="center"/>
    </xf>
    <xf numFmtId="0" fontId="26" fillId="2" borderId="16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/>
    </xf>
    <xf numFmtId="0" fontId="33" fillId="2" borderId="2" xfId="0" applyFont="1" applyFill="1" applyBorder="1" applyAlignment="1">
      <alignment horizontal="center"/>
    </xf>
    <xf numFmtId="0" fontId="27" fillId="2" borderId="1" xfId="0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horizontal="center" vertical="center"/>
    </xf>
    <xf numFmtId="0" fontId="27" fillId="2" borderId="3" xfId="0" applyFont="1" applyFill="1" applyBorder="1" applyAlignment="1">
      <alignment horizontal="center" vertical="center"/>
    </xf>
    <xf numFmtId="0" fontId="18" fillId="10" borderId="6" xfId="0" applyFont="1" applyFill="1" applyBorder="1" applyAlignment="1">
      <alignment horizontal="left" vertical="center"/>
    </xf>
    <xf numFmtId="4" fontId="21" fillId="10" borderId="6" xfId="0" applyNumberFormat="1" applyFont="1" applyFill="1" applyBorder="1" applyAlignment="1">
      <alignment horizontal="right"/>
    </xf>
    <xf numFmtId="0" fontId="22" fillId="15" borderId="6" xfId="0" applyFont="1" applyFill="1" applyBorder="1" applyAlignment="1">
      <alignment horizontal="left" vertical="center"/>
    </xf>
    <xf numFmtId="4" fontId="22" fillId="15" borderId="6" xfId="0" applyNumberFormat="1" applyFont="1" applyFill="1" applyBorder="1" applyAlignment="1">
      <alignment horizontal="right"/>
    </xf>
    <xf numFmtId="0" fontId="25" fillId="9" borderId="0" xfId="0" applyFont="1" applyFill="1" applyAlignment="1">
      <alignment horizontal="center" vertical="center"/>
    </xf>
    <xf numFmtId="0" fontId="16" fillId="0" borderId="0" xfId="0" applyFont="1" applyFill="1"/>
    <xf numFmtId="0" fontId="19" fillId="11" borderId="0" xfId="0" applyFont="1" applyFill="1" applyAlignment="1">
      <alignment horizontal="center" vertical="center"/>
    </xf>
    <xf numFmtId="0" fontId="19" fillId="11" borderId="9" xfId="0" applyFont="1" applyFill="1" applyBorder="1" applyAlignment="1">
      <alignment horizontal="center" vertical="center"/>
    </xf>
    <xf numFmtId="0" fontId="19" fillId="16" borderId="0" xfId="0" applyFont="1" applyFill="1" applyAlignment="1">
      <alignment horizontal="center" vertical="center"/>
    </xf>
    <xf numFmtId="0" fontId="18" fillId="14" borderId="6" xfId="0" applyFont="1" applyFill="1" applyBorder="1" applyAlignment="1">
      <alignment horizontal="left" vertical="center"/>
    </xf>
    <xf numFmtId="4" fontId="18" fillId="14" borderId="6" xfId="0" applyNumberFormat="1" applyFont="1" applyFill="1" applyBorder="1" applyAlignment="1">
      <alignment horizontal="right"/>
    </xf>
    <xf numFmtId="0" fontId="0" fillId="31" borderId="6" xfId="0" applyFont="1" applyFill="1" applyBorder="1"/>
    <xf numFmtId="4" fontId="0" fillId="31" borderId="6" xfId="0" applyNumberFormat="1" applyFont="1" applyFill="1" applyBorder="1"/>
    <xf numFmtId="0" fontId="0" fillId="0" borderId="6" xfId="0" applyFill="1" applyBorder="1"/>
    <xf numFmtId="4" fontId="0" fillId="31" borderId="8" xfId="0" applyNumberFormat="1" applyFont="1" applyFill="1" applyBorder="1"/>
    <xf numFmtId="0" fontId="0" fillId="32" borderId="6" xfId="0" applyFont="1" applyFill="1" applyBorder="1"/>
    <xf numFmtId="4" fontId="0" fillId="32" borderId="6" xfId="0" applyNumberFormat="1" applyFont="1" applyFill="1" applyBorder="1"/>
    <xf numFmtId="0" fontId="0" fillId="32" borderId="7" xfId="0" applyFont="1" applyFill="1" applyBorder="1"/>
    <xf numFmtId="0" fontId="0" fillId="0" borderId="8" xfId="0" applyFill="1" applyBorder="1"/>
    <xf numFmtId="0" fontId="48" fillId="2" borderId="22" xfId="0" applyFont="1" applyFill="1" applyBorder="1" applyAlignment="1">
      <alignment horizontal="center" vertic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1</xdr:row>
          <xdr:rowOff>222250</xdr:rowOff>
        </xdr:from>
        <xdr:to>
          <xdr:col>1</xdr:col>
          <xdr:colOff>2444750</xdr:colOff>
          <xdr:row>2</xdr:row>
          <xdr:rowOff>31750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CREATE MM MASTER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2</xdr:row>
          <xdr:rowOff>95250</xdr:rowOff>
        </xdr:from>
        <xdr:to>
          <xdr:col>2</xdr:col>
          <xdr:colOff>742950</xdr:colOff>
          <xdr:row>9</xdr:row>
          <xdr:rowOff>69850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3</xdr:row>
          <xdr:rowOff>50800</xdr:rowOff>
        </xdr:from>
        <xdr:to>
          <xdr:col>2</xdr:col>
          <xdr:colOff>996950</xdr:colOff>
          <xdr:row>12</xdr:row>
          <xdr:rowOff>228600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13</xdr:row>
          <xdr:rowOff>165100</xdr:rowOff>
        </xdr:from>
        <xdr:to>
          <xdr:col>2</xdr:col>
          <xdr:colOff>996950</xdr:colOff>
          <xdr:row>22</xdr:row>
          <xdr:rowOff>6350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DROPDOWN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</xdr:colOff>
          <xdr:row>2</xdr:row>
          <xdr:rowOff>228600</xdr:rowOff>
        </xdr:from>
        <xdr:to>
          <xdr:col>3</xdr:col>
          <xdr:colOff>381000</xdr:colOff>
          <xdr:row>15</xdr:row>
          <xdr:rowOff>57150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</xdr:colOff>
          <xdr:row>15</xdr:row>
          <xdr:rowOff>127000</xdr:rowOff>
        </xdr:from>
        <xdr:to>
          <xdr:col>3</xdr:col>
          <xdr:colOff>381000</xdr:colOff>
          <xdr:row>23</xdr:row>
          <xdr:rowOff>12700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4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Black"/>
                </a:rPr>
                <a:t>Build FA Code Drop Down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0</xdr:row>
          <xdr:rowOff>184150</xdr:rowOff>
        </xdr:from>
        <xdr:to>
          <xdr:col>5</xdr:col>
          <xdr:colOff>25400</xdr:colOff>
          <xdr:row>4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5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298450</xdr:colOff>
          <xdr:row>0</xdr:row>
          <xdr:rowOff>69850</xdr:rowOff>
        </xdr:from>
        <xdr:to>
          <xdr:col>2</xdr:col>
          <xdr:colOff>292100</xdr:colOff>
          <xdr:row>0</xdr:row>
          <xdr:rowOff>431800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B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 All Production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1289050</xdr:colOff>
          <xdr:row>0</xdr:row>
          <xdr:rowOff>82550</xdr:rowOff>
        </xdr:from>
        <xdr:to>
          <xdr:col>5</xdr:col>
          <xdr:colOff>577850</xdr:colOff>
          <xdr:row>0</xdr:row>
          <xdr:rowOff>431800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B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Preliminary Cost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0</xdr:row>
          <xdr:rowOff>95250</xdr:rowOff>
        </xdr:from>
        <xdr:to>
          <xdr:col>8</xdr:col>
          <xdr:colOff>508000</xdr:colOff>
          <xdr:row>0</xdr:row>
          <xdr:rowOff>419100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B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Final Cost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558800</xdr:colOff>
          <xdr:row>0</xdr:row>
          <xdr:rowOff>120650</xdr:rowOff>
        </xdr:from>
        <xdr:to>
          <xdr:col>12</xdr:col>
          <xdr:colOff>355600</xdr:colOff>
          <xdr:row>0</xdr:row>
          <xdr:rowOff>444500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B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Stock_Journal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234950</xdr:colOff>
          <xdr:row>0</xdr:row>
          <xdr:rowOff>31750</xdr:rowOff>
        </xdr:from>
        <xdr:to>
          <xdr:col>9</xdr:col>
          <xdr:colOff>869950</xdr:colOff>
          <xdr:row>0</xdr:row>
          <xdr:rowOff>355600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C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REBUILD STOCK JOURNAL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0</xdr:row>
          <xdr:rowOff>33132</xdr:rowOff>
        </xdr:from>
        <xdr:to>
          <xdr:col>12</xdr:col>
          <xdr:colOff>933450</xdr:colOff>
          <xdr:row>0</xdr:row>
          <xdr:rowOff>363332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C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Reapply Final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1162050</xdr:colOff>
          <xdr:row>0</xdr:row>
          <xdr:rowOff>69850</xdr:rowOff>
        </xdr:from>
        <xdr:to>
          <xdr:col>3</xdr:col>
          <xdr:colOff>133350</xdr:colOff>
          <xdr:row>0</xdr:row>
          <xdr:rowOff>374650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0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VAT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196850</xdr:colOff>
          <xdr:row>0</xdr:row>
          <xdr:rowOff>69850</xdr:rowOff>
        </xdr:from>
        <xdr:to>
          <xdr:col>11</xdr:col>
          <xdr:colOff>590550</xdr:colOff>
          <xdr:row>1</xdr:row>
          <xdr:rowOff>139700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RM STOCK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</xdr:colOff>
          <xdr:row>0</xdr:row>
          <xdr:rowOff>146050</xdr:rowOff>
        </xdr:from>
        <xdr:to>
          <xdr:col>13</xdr:col>
          <xdr:colOff>508000</xdr:colOff>
          <xdr:row>1</xdr:row>
          <xdr:rowOff>146050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2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FG STOCK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0</xdr:row>
          <xdr:rowOff>57150</xdr:rowOff>
        </xdr:from>
        <xdr:to>
          <xdr:col>13</xdr:col>
          <xdr:colOff>533400</xdr:colOff>
          <xdr:row>1</xdr:row>
          <xdr:rowOff>146050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2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FG STOCK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CD21BF8-717F-44AB-BDAB-35D73FB1BE88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08745289-cd6c-442d-a874-1f473b7e9ff6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008B4-8B82-426B-9F67-5C168BB130B9}">
  <sheetPr codeName="Sheet22">
    <tabColor rgb="FFFF0000"/>
  </sheetPr>
  <dimension ref="A1:A28"/>
  <sheetViews>
    <sheetView showGridLines="0" zoomScale="69" zoomScaleNormal="100" workbookViewId="0">
      <selection activeCell="I12" sqref="I12"/>
    </sheetView>
  </sheetViews>
  <sheetFormatPr defaultRowHeight="14" x14ac:dyDescent="0.3"/>
  <cols>
    <col min="1" max="1" width="12.26953125" style="167" customWidth="1"/>
    <col min="2" max="2" width="10.26953125" style="167" customWidth="1"/>
    <col min="3" max="16384" width="8.7265625" style="167"/>
  </cols>
  <sheetData>
    <row r="1" ht="22.5" customHeight="1" x14ac:dyDescent="0.3"/>
    <row r="3" ht="13.5" customHeight="1" x14ac:dyDescent="0.3"/>
    <row r="4" s="169" customFormat="1" ht="31" customHeight="1" x14ac:dyDescent="0.3"/>
    <row r="6" ht="21.5" customHeight="1" x14ac:dyDescent="0.3"/>
    <row r="7" s="170" customFormat="1" ht="20" customHeight="1" x14ac:dyDescent="0.25"/>
    <row r="8" ht="24.5" customHeight="1" x14ac:dyDescent="0.3"/>
    <row r="9" s="171" customFormat="1" ht="24" customHeight="1" x14ac:dyDescent="0.3"/>
    <row r="10" s="170" customFormat="1" ht="15" customHeight="1" x14ac:dyDescent="0.25"/>
    <row r="11" s="172" customFormat="1" ht="22" customHeight="1" x14ac:dyDescent="0.35"/>
    <row r="14" s="169" customFormat="1" x14ac:dyDescent="0.3"/>
    <row r="15" s="171" customFormat="1" ht="22" customHeight="1" x14ac:dyDescent="0.3"/>
    <row r="16" ht="6.5" customHeight="1" x14ac:dyDescent="0.3"/>
    <row r="18" ht="22.5" customHeight="1" x14ac:dyDescent="0.3"/>
    <row r="20" ht="22.5" customHeight="1" x14ac:dyDescent="0.3"/>
    <row r="22" ht="24" customHeight="1" x14ac:dyDescent="0.3"/>
    <row r="24" s="169" customFormat="1" x14ac:dyDescent="0.3"/>
    <row r="25" s="171" customFormat="1" ht="23" customHeight="1" x14ac:dyDescent="0.3"/>
    <row r="27" s="168" customFormat="1" ht="18.5" customHeight="1" x14ac:dyDescent="0.35"/>
    <row r="28" ht="22.5" customHeight="1" x14ac:dyDescent="0.3"/>
  </sheetData>
  <pageMargins left="0.25" right="0.25" top="0.75" bottom="0.75" header="0.3" footer="0.3"/>
  <pageSetup paperSize="9" scale="88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F5744-7DBD-4018-9026-CE5D4BFFED24}">
  <sheetPr codeName="Sheet1">
    <tabColor rgb="FFFF0000"/>
  </sheetPr>
  <dimension ref="A1:D38"/>
  <sheetViews>
    <sheetView showGridLines="0" tabSelected="1" view="pageBreakPreview" zoomScale="59" zoomScaleNormal="71" workbookViewId="0">
      <selection sqref="A1:B1"/>
    </sheetView>
  </sheetViews>
  <sheetFormatPr defaultColWidth="28.90625" defaultRowHeight="23" x14ac:dyDescent="0.5"/>
  <cols>
    <col min="1" max="1" width="59.1796875" style="107" customWidth="1"/>
    <col min="2" max="2" width="38.08984375" style="107" customWidth="1"/>
    <col min="3" max="3" width="1.26953125" style="107" customWidth="1"/>
    <col min="4" max="4" width="20.81640625" style="110" customWidth="1"/>
    <col min="5" max="16384" width="28.90625" style="107"/>
  </cols>
  <sheetData>
    <row r="1" spans="1:4" ht="41" customHeight="1" thickBot="1" x14ac:dyDescent="0.55000000000000004">
      <c r="A1" s="231" t="s">
        <v>0</v>
      </c>
      <c r="B1" s="232"/>
      <c r="C1" s="108"/>
      <c r="D1" s="106" t="s">
        <v>2</v>
      </c>
    </row>
    <row r="2" spans="1:4" ht="43.5" customHeight="1" x14ac:dyDescent="0.5">
      <c r="A2" s="154"/>
      <c r="B2" s="155"/>
      <c r="C2" s="108"/>
      <c r="D2" s="151" t="s">
        <v>17</v>
      </c>
    </row>
    <row r="3" spans="1:4" ht="27.5" customHeight="1" x14ac:dyDescent="0.5">
      <c r="A3" s="156"/>
      <c r="B3" s="157"/>
      <c r="C3" s="109"/>
      <c r="D3" s="152" t="s">
        <v>18</v>
      </c>
    </row>
    <row r="4" spans="1:4" ht="44" customHeight="1" x14ac:dyDescent="0.5">
      <c r="A4" s="158" t="s">
        <v>39</v>
      </c>
      <c r="B4" s="159"/>
      <c r="C4" s="109"/>
      <c r="D4" s="152" t="s">
        <v>8</v>
      </c>
    </row>
    <row r="5" spans="1:4" ht="31.5" customHeight="1" x14ac:dyDescent="0.5">
      <c r="A5" s="160" t="s">
        <v>166</v>
      </c>
      <c r="B5" s="257" t="s">
        <v>1</v>
      </c>
      <c r="C5" s="109"/>
      <c r="D5" s="152" t="s">
        <v>19</v>
      </c>
    </row>
    <row r="6" spans="1:4" ht="28" customHeight="1" x14ac:dyDescent="0.5">
      <c r="A6" s="161" t="s">
        <v>3</v>
      </c>
      <c r="B6" s="162"/>
      <c r="C6" s="109"/>
      <c r="D6" s="152" t="s">
        <v>20</v>
      </c>
    </row>
    <row r="7" spans="1:4" ht="28" customHeight="1" x14ac:dyDescent="0.5">
      <c r="A7" s="161" t="s">
        <v>4</v>
      </c>
      <c r="B7" s="162"/>
      <c r="C7" s="109"/>
      <c r="D7" s="152" t="s">
        <v>21</v>
      </c>
    </row>
    <row r="8" spans="1:4" ht="24" customHeight="1" x14ac:dyDescent="0.5">
      <c r="A8" s="161" t="s">
        <v>5</v>
      </c>
      <c r="B8" s="162"/>
      <c r="C8" s="109"/>
      <c r="D8" s="152" t="s">
        <v>22</v>
      </c>
    </row>
    <row r="9" spans="1:4" ht="24" customHeight="1" x14ac:dyDescent="0.5">
      <c r="A9" s="161" t="s">
        <v>6</v>
      </c>
      <c r="B9" s="162"/>
      <c r="C9" s="109"/>
      <c r="D9" s="152" t="s">
        <v>23</v>
      </c>
    </row>
    <row r="10" spans="1:4" ht="24" customHeight="1" x14ac:dyDescent="0.5">
      <c r="A10" s="161" t="s">
        <v>2</v>
      </c>
      <c r="B10" s="162"/>
      <c r="C10" s="109"/>
      <c r="D10" s="152"/>
    </row>
    <row r="11" spans="1:4" ht="28" customHeight="1" x14ac:dyDescent="0.5">
      <c r="A11" s="161" t="s">
        <v>7</v>
      </c>
      <c r="B11" s="163"/>
      <c r="C11" s="109"/>
      <c r="D11" s="152"/>
    </row>
    <row r="12" spans="1:4" ht="25.5" customHeight="1" x14ac:dyDescent="0.5">
      <c r="A12" s="161" t="s">
        <v>9</v>
      </c>
      <c r="B12" s="163"/>
      <c r="C12" s="109"/>
      <c r="D12" s="152"/>
    </row>
    <row r="13" spans="1:4" x14ac:dyDescent="0.5">
      <c r="A13" s="164"/>
      <c r="B13" s="157"/>
      <c r="C13" s="109"/>
      <c r="D13" s="152"/>
    </row>
    <row r="14" spans="1:4" ht="10.5" customHeight="1" x14ac:dyDescent="0.5">
      <c r="A14" s="164"/>
      <c r="B14" s="157"/>
      <c r="C14" s="109"/>
      <c r="D14" s="152"/>
    </row>
    <row r="15" spans="1:4" ht="13" customHeight="1" x14ac:dyDescent="0.5">
      <c r="A15" s="164"/>
      <c r="B15" s="157"/>
      <c r="C15" s="109"/>
      <c r="D15" s="152"/>
    </row>
    <row r="16" spans="1:4" ht="14" customHeight="1" x14ac:dyDescent="0.5">
      <c r="A16" s="156"/>
      <c r="B16" s="157"/>
      <c r="C16" s="109"/>
      <c r="D16" s="152"/>
    </row>
    <row r="17" spans="1:4" ht="35.5" customHeight="1" x14ac:dyDescent="0.5">
      <c r="A17" s="160" t="s">
        <v>167</v>
      </c>
      <c r="B17" s="257" t="s">
        <v>10</v>
      </c>
      <c r="C17" s="109"/>
      <c r="D17" s="152"/>
    </row>
    <row r="18" spans="1:4" ht="13" customHeight="1" x14ac:dyDescent="0.5">
      <c r="A18" s="156"/>
      <c r="B18" s="157"/>
      <c r="C18" s="109"/>
      <c r="D18" s="152"/>
    </row>
    <row r="19" spans="1:4" ht="24" customHeight="1" x14ac:dyDescent="0.5">
      <c r="A19" s="161" t="s">
        <v>96</v>
      </c>
      <c r="B19" s="162"/>
      <c r="C19" s="109"/>
      <c r="D19" s="152"/>
    </row>
    <row r="20" spans="1:4" ht="24" customHeight="1" x14ac:dyDescent="0.5">
      <c r="A20" s="161" t="s">
        <v>97</v>
      </c>
      <c r="B20" s="162"/>
      <c r="C20" s="109"/>
      <c r="D20" s="152"/>
    </row>
    <row r="21" spans="1:4" ht="24" customHeight="1" x14ac:dyDescent="0.5">
      <c r="A21" s="161" t="s">
        <v>5</v>
      </c>
      <c r="B21" s="162"/>
      <c r="C21" s="109"/>
      <c r="D21" s="152"/>
    </row>
    <row r="22" spans="1:4" ht="24" customHeight="1" x14ac:dyDescent="0.5">
      <c r="A22" s="161" t="s">
        <v>2</v>
      </c>
      <c r="B22" s="162"/>
      <c r="C22" s="109"/>
      <c r="D22" s="152"/>
    </row>
    <row r="23" spans="1:4" ht="24" customHeight="1" x14ac:dyDescent="0.5">
      <c r="A23" s="161" t="s">
        <v>7</v>
      </c>
      <c r="B23" s="163"/>
      <c r="C23" s="109"/>
      <c r="D23" s="152"/>
    </row>
    <row r="24" spans="1:4" ht="24" customHeight="1" x14ac:dyDescent="0.5">
      <c r="A24" s="161" t="s">
        <v>9</v>
      </c>
      <c r="B24" s="163"/>
      <c r="C24" s="109"/>
      <c r="D24" s="152"/>
    </row>
    <row r="25" spans="1:4" ht="11" customHeight="1" x14ac:dyDescent="0.5">
      <c r="A25" s="156"/>
      <c r="B25" s="157"/>
      <c r="C25" s="109"/>
      <c r="D25" s="152"/>
    </row>
    <row r="26" spans="1:4" ht="7" customHeight="1" x14ac:dyDescent="0.5">
      <c r="A26" s="156"/>
      <c r="B26" s="157"/>
      <c r="C26" s="109"/>
      <c r="D26" s="152"/>
    </row>
    <row r="27" spans="1:4" ht="8" customHeight="1" x14ac:dyDescent="0.5">
      <c r="A27" s="156"/>
      <c r="B27" s="157"/>
      <c r="C27" s="109"/>
      <c r="D27" s="152"/>
    </row>
    <row r="28" spans="1:4" ht="5.5" customHeight="1" x14ac:dyDescent="0.5">
      <c r="A28" s="164"/>
      <c r="B28" s="157"/>
      <c r="C28" s="109"/>
      <c r="D28" s="152"/>
    </row>
    <row r="29" spans="1:4" ht="36.5" customHeight="1" x14ac:dyDescent="0.5">
      <c r="A29" s="160" t="s">
        <v>168</v>
      </c>
      <c r="B29" s="257" t="s">
        <v>13</v>
      </c>
      <c r="C29" s="109"/>
      <c r="D29" s="152"/>
    </row>
    <row r="30" spans="1:4" ht="8" customHeight="1" x14ac:dyDescent="0.5">
      <c r="A30" s="156"/>
      <c r="B30" s="157"/>
      <c r="C30" s="109"/>
      <c r="D30" s="152"/>
    </row>
    <row r="31" spans="1:4" ht="24" customHeight="1" x14ac:dyDescent="0.5">
      <c r="A31" s="161" t="s">
        <v>14</v>
      </c>
      <c r="B31" s="162"/>
      <c r="C31" s="109"/>
      <c r="D31" s="152"/>
    </row>
    <row r="32" spans="1:4" ht="24" customHeight="1" x14ac:dyDescent="0.5">
      <c r="A32" s="161" t="s">
        <v>15</v>
      </c>
      <c r="B32" s="162"/>
      <c r="C32" s="109"/>
      <c r="D32" s="152"/>
    </row>
    <row r="33" spans="1:4" ht="24" customHeight="1" x14ac:dyDescent="0.5">
      <c r="A33" s="161" t="s">
        <v>5</v>
      </c>
      <c r="B33" s="162"/>
      <c r="C33" s="109"/>
      <c r="D33" s="152"/>
    </row>
    <row r="34" spans="1:4" ht="24" customHeight="1" x14ac:dyDescent="0.5">
      <c r="A34" s="161" t="s">
        <v>2</v>
      </c>
      <c r="B34" s="162"/>
      <c r="C34" s="109"/>
      <c r="D34" s="152"/>
    </row>
    <row r="35" spans="1:4" ht="30" customHeight="1" x14ac:dyDescent="0.5">
      <c r="A35" s="161" t="s">
        <v>7</v>
      </c>
      <c r="B35" s="163"/>
      <c r="C35" s="109"/>
      <c r="D35" s="152"/>
    </row>
    <row r="36" spans="1:4" ht="30.5" customHeight="1" x14ac:dyDescent="0.5">
      <c r="A36" s="161" t="s">
        <v>9</v>
      </c>
      <c r="B36" s="163"/>
      <c r="C36" s="109"/>
      <c r="D36" s="152"/>
    </row>
    <row r="37" spans="1:4" ht="30.5" customHeight="1" thickBot="1" x14ac:dyDescent="0.55000000000000004">
      <c r="A37" s="165"/>
      <c r="B37" s="166"/>
      <c r="C37" s="109"/>
      <c r="D37" s="153"/>
    </row>
    <row r="38" spans="1:4" ht="30.5" customHeight="1" x14ac:dyDescent="0.5"/>
  </sheetData>
  <mergeCells count="1">
    <mergeCell ref="A1:B1"/>
  </mergeCells>
  <dataValidations count="2">
    <dataValidation type="list" allowBlank="1" showInputMessage="1" showErrorMessage="1" sqref="B10 B34 B22" xr:uid="{DCA08BB8-1878-4587-9C9B-677D5E063B8D}">
      <formula1>$D$2:$D$38</formula1>
    </dataValidation>
    <dataValidation type="list" allowBlank="1" showInputMessage="1" showErrorMessage="1" sqref="B8:B9 B21 B33" xr:uid="{DC135437-4485-4E16-AFFF-529BB74E2093}">
      <formula1>"Yes,No"</formula1>
    </dataValidation>
  </dataValidations>
  <pageMargins left="0.7" right="0.7" top="0.75" bottom="0.75" header="0.3" footer="0.3"/>
  <pageSetup paperSize="9" scale="81" orientation="portrait" verticalDpi="0" r:id="rId1"/>
  <colBreaks count="1" manualBreakCount="1">
    <brk id="4" max="3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aveMaterialMaster">
                <anchor moveWithCells="1" sizeWithCells="1">
                  <from>
                    <xdr:col>0</xdr:col>
                    <xdr:colOff>260350</xdr:colOff>
                    <xdr:row>1</xdr:row>
                    <xdr:rowOff>222250</xdr:rowOff>
                  </from>
                  <to>
                    <xdr:col>1</xdr:col>
                    <xdr:colOff>2444750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27B60-64E2-4AA8-9F35-C240EA5EEF30}">
  <sheetPr codeName="Sheet5">
    <tabColor rgb="FFFF0000"/>
  </sheetPr>
  <dimension ref="A1:C11"/>
  <sheetViews>
    <sheetView showGridLines="0" workbookViewId="0">
      <selection activeCell="A18" sqref="A18"/>
    </sheetView>
  </sheetViews>
  <sheetFormatPr defaultColWidth="27" defaultRowHeight="18" x14ac:dyDescent="0.4"/>
  <cols>
    <col min="1" max="1" width="33.453125" style="111" customWidth="1"/>
    <col min="2" max="2" width="28.54296875" style="111" bestFit="1" customWidth="1"/>
    <col min="3" max="3" width="11.7265625" style="111" customWidth="1"/>
    <col min="4" max="16384" width="27" style="111"/>
  </cols>
  <sheetData>
    <row r="1" spans="1:3" x14ac:dyDescent="0.4">
      <c r="A1" s="233" t="s">
        <v>32</v>
      </c>
      <c r="B1" s="234"/>
      <c r="C1" s="234"/>
    </row>
    <row r="2" spans="1:3" ht="2.5" customHeight="1" x14ac:dyDescent="0.4">
      <c r="A2" s="112"/>
      <c r="B2" s="112"/>
      <c r="C2" s="112"/>
    </row>
    <row r="3" spans="1:3" ht="25.5" customHeight="1" x14ac:dyDescent="0.4">
      <c r="A3" s="113" t="s">
        <v>24</v>
      </c>
      <c r="B3" s="113" t="s">
        <v>31</v>
      </c>
      <c r="C3" s="112"/>
    </row>
    <row r="4" spans="1:3" ht="20.5" x14ac:dyDescent="0.4">
      <c r="A4" s="114" t="s">
        <v>38</v>
      </c>
      <c r="B4" s="187"/>
      <c r="C4" s="112"/>
    </row>
    <row r="5" spans="1:3" ht="21" customHeight="1" x14ac:dyDescent="0.4">
      <c r="A5" s="114" t="s">
        <v>25</v>
      </c>
      <c r="B5" s="114"/>
      <c r="C5" s="112"/>
    </row>
    <row r="6" spans="1:3" x14ac:dyDescent="0.4">
      <c r="A6" s="114" t="s">
        <v>26</v>
      </c>
      <c r="B6" s="115"/>
      <c r="C6" s="112"/>
    </row>
    <row r="7" spans="1:3" x14ac:dyDescent="0.4">
      <c r="A7" s="114" t="s">
        <v>27</v>
      </c>
      <c r="B7" s="114"/>
      <c r="C7" s="112"/>
    </row>
    <row r="8" spans="1:3" x14ac:dyDescent="0.4">
      <c r="A8" s="114" t="s">
        <v>28</v>
      </c>
      <c r="B8" s="114"/>
      <c r="C8" s="112"/>
    </row>
    <row r="9" spans="1:3" x14ac:dyDescent="0.4">
      <c r="A9" s="114" t="s">
        <v>29</v>
      </c>
      <c r="B9" s="186"/>
      <c r="C9" s="112"/>
    </row>
    <row r="10" spans="1:3" x14ac:dyDescent="0.4">
      <c r="A10" s="114" t="s">
        <v>30</v>
      </c>
      <c r="B10" s="114"/>
      <c r="C10" s="112"/>
    </row>
    <row r="11" spans="1:3" ht="11.5" customHeight="1" x14ac:dyDescent="0.4"/>
  </sheetData>
  <mergeCells count="1">
    <mergeCell ref="A1:C1"/>
  </mergeCells>
  <dataValidations count="1">
    <dataValidation type="list" allowBlank="1" showInputMessage="1" showErrorMessage="1" sqref="B5" xr:uid="{62A5CC93-04EA-4A8E-860D-E2384FA58F4F}">
      <formula1>"Customer,Vendor"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SavePartyMaster">
                <anchor moveWithCells="1" sizeWithCells="1">
                  <from>
                    <xdr:col>2</xdr:col>
                    <xdr:colOff>50800</xdr:colOff>
                    <xdr:row>2</xdr:row>
                    <xdr:rowOff>95250</xdr:rowOff>
                  </from>
                  <to>
                    <xdr:col>2</xdr:col>
                    <xdr:colOff>742950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AB175-7AEF-4774-8534-ECAA766E8C83}">
  <sheetPr codeName="Sheet8">
    <tabColor rgb="FFFF0000"/>
  </sheetPr>
  <dimension ref="A1:C23"/>
  <sheetViews>
    <sheetView showGridLines="0" workbookViewId="0">
      <selection activeCell="E8" sqref="E8"/>
    </sheetView>
  </sheetViews>
  <sheetFormatPr defaultColWidth="27.6328125" defaultRowHeight="20.5" x14ac:dyDescent="0.45"/>
  <cols>
    <col min="1" max="1" width="40.1796875" style="116" customWidth="1"/>
    <col min="2" max="2" width="23" style="116" bestFit="1" customWidth="1"/>
    <col min="3" max="3" width="14.453125" style="116" customWidth="1"/>
    <col min="4" max="16384" width="27.6328125" style="116"/>
  </cols>
  <sheetData>
    <row r="1" spans="1:3" ht="30.5" customHeight="1" x14ac:dyDescent="0.45">
      <c r="A1" s="235" t="s">
        <v>49</v>
      </c>
      <c r="B1" s="236"/>
      <c r="C1" s="236"/>
    </row>
    <row r="2" spans="1:3" ht="3" customHeight="1" x14ac:dyDescent="0.45">
      <c r="A2" s="124"/>
      <c r="B2" s="124"/>
      <c r="C2" s="124"/>
    </row>
    <row r="3" spans="1:3" x14ac:dyDescent="0.45">
      <c r="A3" s="130" t="s">
        <v>24</v>
      </c>
      <c r="B3" s="130" t="s">
        <v>31</v>
      </c>
      <c r="C3" s="124"/>
    </row>
    <row r="4" spans="1:3" x14ac:dyDescent="0.45">
      <c r="A4" s="118" t="s">
        <v>38</v>
      </c>
      <c r="B4" s="119"/>
      <c r="C4" s="124"/>
    </row>
    <row r="5" spans="1:3" x14ac:dyDescent="0.45">
      <c r="A5" s="118" t="s">
        <v>50</v>
      </c>
      <c r="B5" s="123"/>
      <c r="C5" s="124"/>
    </row>
    <row r="6" spans="1:3" x14ac:dyDescent="0.45">
      <c r="A6" s="118" t="s">
        <v>40</v>
      </c>
      <c r="B6" s="188"/>
      <c r="C6" s="124"/>
    </row>
    <row r="7" spans="1:3" x14ac:dyDescent="0.45">
      <c r="A7" s="118" t="s">
        <v>41</v>
      </c>
      <c r="B7" s="119"/>
      <c r="C7" s="124"/>
    </row>
    <row r="8" spans="1:3" x14ac:dyDescent="0.45">
      <c r="A8" s="118" t="s">
        <v>42</v>
      </c>
      <c r="B8" s="188"/>
      <c r="C8" s="124"/>
    </row>
    <row r="9" spans="1:3" ht="27" customHeight="1" x14ac:dyDescent="0.45">
      <c r="A9" s="118" t="s">
        <v>157</v>
      </c>
      <c r="B9" s="120"/>
      <c r="C9" s="124"/>
    </row>
    <row r="10" spans="1:3" x14ac:dyDescent="0.45">
      <c r="A10" s="118" t="s">
        <v>44</v>
      </c>
      <c r="B10" s="120"/>
      <c r="C10" s="124"/>
    </row>
    <row r="11" spans="1:3" x14ac:dyDescent="0.45">
      <c r="A11" s="118" t="s">
        <v>45</v>
      </c>
      <c r="B11" s="120"/>
      <c r="C11" s="124"/>
    </row>
    <row r="12" spans="1:3" x14ac:dyDescent="0.45">
      <c r="A12" s="118" t="s">
        <v>46</v>
      </c>
      <c r="B12" s="120"/>
      <c r="C12" s="124"/>
    </row>
    <row r="13" spans="1:3" x14ac:dyDescent="0.45">
      <c r="A13" s="118" t="s">
        <v>47</v>
      </c>
      <c r="B13" s="120"/>
      <c r="C13" s="124"/>
    </row>
    <row r="14" spans="1:3" ht="23" customHeight="1" x14ac:dyDescent="0.45">
      <c r="A14" s="118" t="s">
        <v>48</v>
      </c>
      <c r="B14" s="120"/>
      <c r="C14" s="124"/>
    </row>
    <row r="15" spans="1:3" x14ac:dyDescent="0.45">
      <c r="A15" s="125" t="s">
        <v>143</v>
      </c>
      <c r="B15" s="125"/>
      <c r="C15" s="124"/>
    </row>
    <row r="16" spans="1:3" x14ac:dyDescent="0.45">
      <c r="A16" s="122" t="s">
        <v>144</v>
      </c>
      <c r="B16" s="128"/>
      <c r="C16" s="124"/>
    </row>
    <row r="17" spans="1:3" ht="30.5" customHeight="1" x14ac:dyDescent="0.45">
      <c r="A17" s="129" t="s">
        <v>158</v>
      </c>
      <c r="B17" s="126"/>
      <c r="C17" s="127"/>
    </row>
    <row r="18" spans="1:3" x14ac:dyDescent="0.45">
      <c r="A18" s="118" t="s">
        <v>126</v>
      </c>
      <c r="B18" s="119"/>
      <c r="C18" s="124"/>
    </row>
    <row r="19" spans="1:3" x14ac:dyDescent="0.45">
      <c r="A19" s="118" t="s">
        <v>127</v>
      </c>
      <c r="B19" s="119"/>
      <c r="C19" s="124"/>
    </row>
    <row r="20" spans="1:3" x14ac:dyDescent="0.45">
      <c r="A20" s="118" t="s">
        <v>125</v>
      </c>
      <c r="B20" s="119"/>
      <c r="C20" s="124"/>
    </row>
    <row r="21" spans="1:3" x14ac:dyDescent="0.45">
      <c r="A21" s="118" t="s">
        <v>128</v>
      </c>
      <c r="B21" s="119"/>
      <c r="C21" s="124"/>
    </row>
    <row r="22" spans="1:3" x14ac:dyDescent="0.45">
      <c r="A22" s="118" t="s">
        <v>33</v>
      </c>
      <c r="B22" s="119"/>
      <c r="C22" s="124"/>
    </row>
    <row r="23" spans="1:3" ht="8" customHeight="1" x14ac:dyDescent="0.45">
      <c r="A23" s="124"/>
      <c r="B23" s="124"/>
      <c r="C23" s="124"/>
    </row>
  </sheetData>
  <mergeCells count="1">
    <mergeCell ref="A1:C1"/>
  </mergeCells>
  <dataValidations count="7">
    <dataValidation type="list" allowBlank="1" showInputMessage="1" showErrorMessage="1" sqref="B13:B14" xr:uid="{DED6F98F-43D4-439B-AC1D-8A10A823EFC6}">
      <formula1>"Yes,No"</formula1>
    </dataValidation>
    <dataValidation type="list" allowBlank="1" showInputMessage="1" showErrorMessage="1" sqref="B15" xr:uid="{DA8EC316-2F15-4D87-BAEB-70233D79CED5}">
      <formula1>"Purchase Return,Debit Note"</formula1>
    </dataValidation>
    <dataValidation type="list" allowBlank="1" showInputMessage="1" showErrorMessage="1" sqref="B5" xr:uid="{485997F7-1BFA-4CA0-A8A8-10DCC7C2CBB7}">
      <formula1>"Shrawan,Bhadra,Ashwin,Kartik,Mangsir,Poush,Magh,Falgun,Chaitra,Baisakh,Jestha,Ashad"</formula1>
    </dataValidation>
    <dataValidation type="list" errorStyle="information" allowBlank="1" showInputMessage="1" promptTitle="Sub Group" prompt="BLOCK A = Buildings_x000d__x000a_BLOCK B = Computers/Equipment/Furniture_x000d__x000a_BLOCK C = Vehicles_x000d__x000a_BLOCK D = Plant &amp; Machinery_x000d__x000a_BLOCK E = Intangibles_x000d__x000a_LAND    = Non-depreciable land" sqref="B19" xr:uid="{59F05C49-A75F-4621-8FAA-4375ECCE4403}">
      <formula1>"BLOCK A,BLOCK B,BLOCK C,BLOCK D,BLOCK E,LAND"</formula1>
    </dataValidation>
    <dataValidation type="list" errorStyle="information" allowBlank="1" showInputMessage="1" sqref="B20" xr:uid="{8E82872C-ACAF-405D-A766-91B5EF0839BD}">
      <formula1>"DEPRECIABLE ASSETS,INTANGIBLES,NON-DEPRECIABLE ASSETS"</formula1>
    </dataValidation>
    <dataValidation type="list" errorStyle="information" allowBlank="1" showInputMessage="1" sqref="B21" xr:uid="{C7A440C8-D9DA-4C07-A6FA-298FEB63B3FD}">
      <formula1>"NON CURRENT ASSETS,CURRENT ASSETS,EQUITY,LIABILITIES"</formula1>
    </dataValidation>
    <dataValidation type="list" errorStyle="information" allowBlank="1" showInputMessage="1" sqref="B22" xr:uid="{A4C3561E-F9BF-4D19-A6BB-3C7C2FCD7AEF}">
      <formula1>"BS,PL"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avePurchaseEntry">
                <anchor moveWithCells="1" sizeWithCells="1">
                  <from>
                    <xdr:col>2</xdr:col>
                    <xdr:colOff>76200</xdr:colOff>
                    <xdr:row>3</xdr:row>
                    <xdr:rowOff>50800</xdr:rowOff>
                  </from>
                  <to>
                    <xdr:col>2</xdr:col>
                    <xdr:colOff>996950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BuildCapitalSubGroupDropdown">
                <anchor moveWithCells="1" sizeWithCells="1">
                  <from>
                    <xdr:col>2</xdr:col>
                    <xdr:colOff>101600</xdr:colOff>
                    <xdr:row>13</xdr:row>
                    <xdr:rowOff>165100</xdr:rowOff>
                  </from>
                  <to>
                    <xdr:col>2</xdr:col>
                    <xdr:colOff>996950</xdr:colOff>
                    <xdr:row>22</xdr:row>
                    <xdr:rowOff>6350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305EA0-8853-46C4-879F-13FABA91D6BC}">
          <x14:formula1>
            <xm:f>Party_Master!$C$2:$C$1048576</xm:f>
          </x14:formula1>
          <xm:sqref>B7</xm:sqref>
        </x14:dataValidation>
        <x14:dataValidation type="list" allowBlank="1" showInputMessage="1" showErrorMessage="1" xr:uid="{2D6D9F89-1016-4E93-B5C5-2C2BAA87E255}">
          <x14:formula1>
            <xm:f>RM_Master!$B:$B</xm:f>
          </x14:formula1>
          <xm:sqref>B9:B10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EB55A-1DDA-45CC-A0B9-B4C60D01D6C7}">
  <sheetPr codeName="Sheet10">
    <tabColor rgb="FFFF0000"/>
  </sheetPr>
  <dimension ref="A1:G24"/>
  <sheetViews>
    <sheetView showGridLines="0" view="pageBreakPreview" zoomScale="60" zoomScaleNormal="96" workbookViewId="0">
      <selection activeCell="B14" sqref="B14"/>
    </sheetView>
  </sheetViews>
  <sheetFormatPr defaultRowHeight="20.5" x14ac:dyDescent="0.45"/>
  <cols>
    <col min="1" max="1" width="43.08984375" style="116" customWidth="1"/>
    <col min="2" max="2" width="31.1796875" style="116" customWidth="1"/>
    <col min="3" max="3" width="12.81640625" style="116" customWidth="1"/>
    <col min="4" max="4" width="6.7265625" style="116" customWidth="1"/>
    <col min="5" max="5" width="8.7265625" style="116"/>
    <col min="6" max="6" width="11.1796875" style="116" bestFit="1" customWidth="1"/>
    <col min="7" max="7" width="14.7265625" style="116" bestFit="1" customWidth="1"/>
    <col min="8" max="16384" width="8.7265625" style="116"/>
  </cols>
  <sheetData>
    <row r="1" spans="1:7" ht="34" customHeight="1" x14ac:dyDescent="0.45">
      <c r="A1" s="235" t="s">
        <v>66</v>
      </c>
      <c r="B1" s="236"/>
      <c r="C1" s="236"/>
      <c r="D1" s="237"/>
    </row>
    <row r="2" spans="1:7" ht="4.5" customHeight="1" x14ac:dyDescent="0.45">
      <c r="A2" s="124"/>
      <c r="B2" s="124"/>
      <c r="C2" s="124"/>
      <c r="D2" s="124"/>
    </row>
    <row r="3" spans="1:7" x14ac:dyDescent="0.45">
      <c r="A3" s="130" t="s">
        <v>24</v>
      </c>
      <c r="B3" s="130" t="s">
        <v>31</v>
      </c>
      <c r="C3" s="124"/>
      <c r="D3" s="124"/>
    </row>
    <row r="4" spans="1:7" x14ac:dyDescent="0.45">
      <c r="A4" s="118" t="s">
        <v>38</v>
      </c>
      <c r="B4" s="119"/>
      <c r="C4" s="124"/>
      <c r="D4" s="124"/>
      <c r="G4" s="131"/>
    </row>
    <row r="5" spans="1:7" x14ac:dyDescent="0.45">
      <c r="A5" s="118" t="s">
        <v>50</v>
      </c>
      <c r="B5" s="123"/>
      <c r="C5" s="124"/>
      <c r="D5" s="124"/>
    </row>
    <row r="6" spans="1:7" x14ac:dyDescent="0.45">
      <c r="A6" s="118" t="s">
        <v>40</v>
      </c>
      <c r="B6" s="120"/>
      <c r="C6" s="124"/>
      <c r="D6" s="124"/>
    </row>
    <row r="7" spans="1:7" x14ac:dyDescent="0.45">
      <c r="A7" s="118" t="s">
        <v>64</v>
      </c>
      <c r="B7" s="120"/>
      <c r="C7" s="124"/>
      <c r="D7" s="124"/>
    </row>
    <row r="8" spans="1:7" x14ac:dyDescent="0.45">
      <c r="A8" s="118" t="s">
        <v>65</v>
      </c>
      <c r="B8" s="132"/>
      <c r="C8" s="124"/>
      <c r="D8" s="124"/>
    </row>
    <row r="9" spans="1:7" ht="27.5" customHeight="1" x14ac:dyDescent="0.45">
      <c r="A9" s="118" t="s">
        <v>157</v>
      </c>
      <c r="B9" s="120"/>
      <c r="C9" s="124"/>
      <c r="D9" s="124"/>
    </row>
    <row r="10" spans="1:7" x14ac:dyDescent="0.45">
      <c r="A10" s="118" t="s">
        <v>44</v>
      </c>
      <c r="B10" s="120"/>
      <c r="C10" s="124"/>
      <c r="D10" s="124"/>
    </row>
    <row r="11" spans="1:7" x14ac:dyDescent="0.45">
      <c r="A11" s="118" t="s">
        <v>45</v>
      </c>
      <c r="B11" s="120"/>
      <c r="C11" s="124"/>
      <c r="D11" s="124"/>
    </row>
    <row r="12" spans="1:7" x14ac:dyDescent="0.45">
      <c r="A12" s="118" t="s">
        <v>46</v>
      </c>
      <c r="B12" s="120"/>
      <c r="C12" s="124"/>
      <c r="D12" s="124"/>
    </row>
    <row r="13" spans="1:7" x14ac:dyDescent="0.45">
      <c r="A13" s="118" t="s">
        <v>47</v>
      </c>
      <c r="B13" s="120"/>
      <c r="C13" s="124"/>
      <c r="D13" s="124"/>
    </row>
    <row r="14" spans="1:7" x14ac:dyDescent="0.45">
      <c r="A14" s="118" t="s">
        <v>48</v>
      </c>
      <c r="B14" s="120"/>
      <c r="C14" s="124"/>
      <c r="D14" s="124"/>
    </row>
    <row r="15" spans="1:7" x14ac:dyDescent="0.45">
      <c r="A15" s="121" t="s">
        <v>145</v>
      </c>
      <c r="B15" s="121"/>
      <c r="C15" s="124"/>
      <c r="D15" s="124"/>
    </row>
    <row r="16" spans="1:7" x14ac:dyDescent="0.45">
      <c r="A16" s="122" t="s">
        <v>144</v>
      </c>
      <c r="B16" s="121"/>
      <c r="C16" s="124"/>
      <c r="D16" s="124"/>
    </row>
    <row r="17" spans="1:4" x14ac:dyDescent="0.45">
      <c r="A17" s="117" t="s">
        <v>158</v>
      </c>
      <c r="B17" s="117" t="s">
        <v>31</v>
      </c>
      <c r="C17" s="124"/>
      <c r="D17" s="124"/>
    </row>
    <row r="18" spans="1:4" x14ac:dyDescent="0.45">
      <c r="A18" s="118" t="s">
        <v>126</v>
      </c>
      <c r="B18" s="119"/>
      <c r="C18" s="124"/>
      <c r="D18" s="124"/>
    </row>
    <row r="19" spans="1:4" x14ac:dyDescent="0.45">
      <c r="A19" s="118" t="s">
        <v>127</v>
      </c>
      <c r="B19" s="119"/>
      <c r="C19" s="124"/>
      <c r="D19" s="124"/>
    </row>
    <row r="20" spans="1:4" x14ac:dyDescent="0.45">
      <c r="A20" s="118" t="s">
        <v>125</v>
      </c>
      <c r="B20" s="119"/>
      <c r="C20" s="124"/>
      <c r="D20" s="124"/>
    </row>
    <row r="21" spans="1:4" x14ac:dyDescent="0.45">
      <c r="A21" s="118" t="s">
        <v>128</v>
      </c>
      <c r="B21" s="119"/>
      <c r="C21" s="124"/>
      <c r="D21" s="124"/>
    </row>
    <row r="22" spans="1:4" x14ac:dyDescent="0.45">
      <c r="A22" s="118" t="s">
        <v>33</v>
      </c>
      <c r="B22" s="119"/>
      <c r="C22" s="124"/>
      <c r="D22" s="124"/>
    </row>
    <row r="23" spans="1:4" x14ac:dyDescent="0.45">
      <c r="A23" s="118" t="s">
        <v>138</v>
      </c>
      <c r="B23" s="119"/>
      <c r="C23" s="124"/>
      <c r="D23" s="124"/>
    </row>
    <row r="24" spans="1:4" ht="7.5" customHeight="1" x14ac:dyDescent="0.45">
      <c r="A24" s="124"/>
      <c r="B24" s="124"/>
      <c r="C24" s="124"/>
      <c r="D24" s="124"/>
    </row>
  </sheetData>
  <mergeCells count="1">
    <mergeCell ref="A1:D1"/>
  </mergeCells>
  <dataValidations count="8">
    <dataValidation type="list" allowBlank="1" showInputMessage="1" showErrorMessage="1" sqref="B5" xr:uid="{7D28C302-8AE0-4AF7-B7DD-AAA4061514DA}">
      <formula1>"Shrawan,Bhadra,Ashwin,Kartik,Mangsir,Poush,Magh,Falgun,Chaitra,Baisakh,Jestha,Ashad"</formula1>
    </dataValidation>
    <dataValidation type="list" allowBlank="1" showInputMessage="1" showErrorMessage="1" sqref="B13:B14" xr:uid="{EA1EB41E-E0A1-4AD4-8E86-19A9EAA5FFD6}">
      <formula1>"Yes,No"</formula1>
    </dataValidation>
    <dataValidation type="list" allowBlank="1" showInputMessage="1" showErrorMessage="1" sqref="B15" xr:uid="{7FBB8841-CD87-4D65-A318-DD84A4089B71}">
      <formula1>"Sales Return,Credit Note"</formula1>
    </dataValidation>
    <dataValidation type="list" errorStyle="information" allowBlank="1" showInputMessage="1" promptTitle="Sub Group" prompt="BLOCK A = Buildings_x000d__x000a_BLOCK B = Computers/Equipment/Furniture_x000d__x000a_BLOCK C = Vehicles_x000d__x000a_BLOCK D = Plant &amp; Machinery_x000d__x000a_BLOCK E = Intangibles_x000d__x000a_LAND    = Non-depreciable land" sqref="B19" xr:uid="{E1FA8310-3A4A-45B7-AFE1-D24AAD00ABD4}">
      <formula1>"BLOCK A,BLOCK B,BLOCK C,BLOCK D,BLOCK E,LAND"</formula1>
    </dataValidation>
    <dataValidation type="list" errorStyle="information" allowBlank="1" showInputMessage="1" sqref="B20" xr:uid="{125BB9AD-DE62-4752-A683-7F0B594C7A69}">
      <formula1>"DEPRECIABLE ASSETS,INTANGIBLES,NON-DEPRECIABLE ASSETS"</formula1>
    </dataValidation>
    <dataValidation type="list" errorStyle="information" allowBlank="1" showInputMessage="1" sqref="B21" xr:uid="{AC75673E-B5C4-4C90-8BCF-D3365623FFF7}">
      <formula1>"NON CURRENT ASSETS,CURRENT ASSETS,EQUITY,LIABILITIES"</formula1>
    </dataValidation>
    <dataValidation type="list" errorStyle="information" allowBlank="1" showInputMessage="1" sqref="B22" xr:uid="{9AE9AC62-AFEA-4008-BE69-B8163D9A8D89}">
      <formula1>"BS,PL"</formula1>
    </dataValidation>
    <dataValidation type="list" errorStyle="information" allowBlank="1" showInputMessage="1" promptTitle="Select Asset to Dispose" prompt="Format: FA-2026-001 | Asset Name_x000d__x000a_Only undisposed assets listed." sqref="B23" xr:uid="{D27A65AB-84F9-4590-A548-DA7BAF77E99A}">
      <formula1>FACodeList</formula1>
    </dataValidation>
  </dataValidations>
  <pageMargins left="0.7" right="0.7" top="0.75" bottom="0.75" header="0.3" footer="0.3"/>
  <pageSetup paperSize="9" scale="93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aveSalesEntry">
                <anchor moveWithCells="1" sizeWithCells="1">
                  <from>
                    <xdr:col>2</xdr:col>
                    <xdr:colOff>63500</xdr:colOff>
                    <xdr:row>2</xdr:row>
                    <xdr:rowOff>228600</xdr:rowOff>
                  </from>
                  <to>
                    <xdr:col>3</xdr:col>
                    <xdr:colOff>381000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BuildFACodeDropdown">
                <anchor moveWithCells="1" sizeWithCells="1">
                  <from>
                    <xdr:col>2</xdr:col>
                    <xdr:colOff>63500</xdr:colOff>
                    <xdr:row>15</xdr:row>
                    <xdr:rowOff>127000</xdr:rowOff>
                  </from>
                  <to>
                    <xdr:col>3</xdr:col>
                    <xdr:colOff>381000</xdr:colOff>
                    <xdr:row>23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9FD454E-D34F-48E0-94DA-E8ADA196A85C}">
          <x14:formula1>
            <xm:f>Party_Master!$C:$C</xm:f>
          </x14:formula1>
          <xm:sqref>B7</xm:sqref>
        </x14:dataValidation>
        <x14:dataValidation type="list" allowBlank="1" showInputMessage="1" showErrorMessage="1" xr:uid="{F2534FE1-7716-4FE9-8BF2-5B38217DE3DA}">
          <x14:formula1>
            <xm:f>Production_Journal!$F:$F</xm:f>
          </x14:formula1>
          <xm:sqref>B9:B10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EB1E7-CDB6-49ED-A7AF-E9D9CB4A39C0}">
  <sheetPr codeName="Sheet13">
    <tabColor rgb="FFFF0000"/>
    <pageSetUpPr fitToPage="1"/>
  </sheetPr>
  <dimension ref="A1:G25"/>
  <sheetViews>
    <sheetView showGridLines="0" zoomScale="95" zoomScaleNormal="100" zoomScaleSheetLayoutView="98" workbookViewId="0">
      <selection activeCell="H1" sqref="H1:L1048576"/>
    </sheetView>
  </sheetViews>
  <sheetFormatPr defaultRowHeight="18" x14ac:dyDescent="0.4"/>
  <cols>
    <col min="1" max="1" width="33.54296875" style="111" customWidth="1"/>
    <col min="2" max="2" width="23.453125" style="111" customWidth="1"/>
    <col min="3" max="3" width="15.1796875" style="111" customWidth="1"/>
    <col min="4" max="4" width="17.26953125" style="111" customWidth="1"/>
    <col min="5" max="5" width="22.7265625" style="111" bestFit="1" customWidth="1"/>
    <col min="6" max="6" width="1.6328125" style="111" customWidth="1"/>
    <col min="7" max="16384" width="8.7265625" style="111"/>
  </cols>
  <sheetData>
    <row r="1" spans="1:6" x14ac:dyDescent="0.4">
      <c r="A1" s="133" t="s">
        <v>89</v>
      </c>
      <c r="B1" s="134"/>
      <c r="C1" s="112"/>
      <c r="D1" s="112"/>
      <c r="E1" s="112"/>
      <c r="F1" s="112"/>
    </row>
    <row r="2" spans="1:6" x14ac:dyDescent="0.4">
      <c r="A2" s="115" t="s">
        <v>77</v>
      </c>
      <c r="B2" s="135"/>
      <c r="C2" s="112"/>
      <c r="D2" s="112"/>
      <c r="E2" s="112"/>
      <c r="F2" s="112"/>
    </row>
    <row r="3" spans="1:6" x14ac:dyDescent="0.4">
      <c r="A3" s="115" t="s">
        <v>78</v>
      </c>
      <c r="B3" s="136"/>
      <c r="C3" s="112"/>
      <c r="D3" s="112"/>
      <c r="E3" s="112"/>
      <c r="F3" s="112"/>
    </row>
    <row r="4" spans="1:6" ht="20.5" x14ac:dyDescent="0.4">
      <c r="A4" s="115" t="s">
        <v>50</v>
      </c>
      <c r="B4" s="123"/>
      <c r="C4" s="112"/>
      <c r="D4" s="112"/>
      <c r="E4" s="112"/>
      <c r="F4" s="112"/>
    </row>
    <row r="5" spans="1:6" ht="20.5" x14ac:dyDescent="0.4">
      <c r="A5" s="115" t="s">
        <v>90</v>
      </c>
      <c r="B5" s="120"/>
      <c r="C5" s="112"/>
      <c r="D5" s="112"/>
      <c r="E5" s="112"/>
      <c r="F5" s="112"/>
    </row>
    <row r="6" spans="1:6" ht="12" customHeight="1" x14ac:dyDescent="0.4">
      <c r="A6" s="112"/>
      <c r="B6" s="112"/>
      <c r="C6" s="112"/>
      <c r="D6" s="112"/>
      <c r="E6" s="112"/>
      <c r="F6" s="112"/>
    </row>
    <row r="7" spans="1:6" s="138" customFormat="1" ht="17.5" x14ac:dyDescent="0.35">
      <c r="A7" s="137" t="s">
        <v>67</v>
      </c>
      <c r="B7" s="137"/>
      <c r="C7" s="137"/>
      <c r="D7" s="137"/>
      <c r="E7" s="137"/>
      <c r="F7" s="137"/>
    </row>
    <row r="8" spans="1:6" s="142" customFormat="1" ht="17.5" x14ac:dyDescent="0.35">
      <c r="A8" s="139" t="s">
        <v>34</v>
      </c>
      <c r="B8" s="140" t="s">
        <v>70</v>
      </c>
      <c r="C8" s="140" t="s">
        <v>2</v>
      </c>
      <c r="D8" s="140" t="s">
        <v>51</v>
      </c>
      <c r="E8" s="140" t="s">
        <v>98</v>
      </c>
      <c r="F8" s="141"/>
    </row>
    <row r="9" spans="1:6" x14ac:dyDescent="0.4">
      <c r="A9" s="115" t="s">
        <v>79</v>
      </c>
      <c r="B9" s="143"/>
      <c r="C9" s="136"/>
      <c r="D9" s="136"/>
      <c r="E9" s="136">
        <v>0.4</v>
      </c>
      <c r="F9" s="112"/>
    </row>
    <row r="10" spans="1:6" x14ac:dyDescent="0.4">
      <c r="A10" s="115" t="s">
        <v>80</v>
      </c>
      <c r="B10" s="143"/>
      <c r="C10" s="136"/>
      <c r="D10" s="136"/>
      <c r="E10" s="136"/>
      <c r="F10" s="112"/>
    </row>
    <row r="11" spans="1:6" x14ac:dyDescent="0.4">
      <c r="A11" s="115" t="s">
        <v>81</v>
      </c>
      <c r="B11" s="143"/>
      <c r="C11" s="136"/>
      <c r="D11" s="136"/>
      <c r="E11" s="136"/>
      <c r="F11" s="112"/>
    </row>
    <row r="12" spans="1:6" x14ac:dyDescent="0.4">
      <c r="A12" s="115" t="s">
        <v>82</v>
      </c>
      <c r="B12" s="143"/>
      <c r="C12" s="136"/>
      <c r="D12" s="136"/>
      <c r="E12" s="136"/>
      <c r="F12" s="112"/>
    </row>
    <row r="13" spans="1:6" x14ac:dyDescent="0.4">
      <c r="A13" s="115" t="s">
        <v>83</v>
      </c>
      <c r="B13" s="143"/>
      <c r="C13" s="136"/>
      <c r="D13" s="136"/>
      <c r="E13" s="136"/>
      <c r="F13" s="112"/>
    </row>
    <row r="14" spans="1:6" ht="5.5" customHeight="1" x14ac:dyDescent="0.4">
      <c r="A14" s="144"/>
      <c r="B14" s="144"/>
      <c r="C14" s="144"/>
      <c r="D14" s="144"/>
      <c r="E14" s="144"/>
      <c r="F14" s="112"/>
    </row>
    <row r="15" spans="1:6" s="138" customFormat="1" ht="23" customHeight="1" x14ac:dyDescent="0.35">
      <c r="A15" s="145" t="s">
        <v>169</v>
      </c>
      <c r="B15" s="145"/>
      <c r="C15" s="145"/>
      <c r="D15" s="145"/>
      <c r="E15" s="145"/>
      <c r="F15" s="137"/>
    </row>
    <row r="16" spans="1:6" s="142" customFormat="1" ht="17.5" x14ac:dyDescent="0.35">
      <c r="A16" s="139" t="s">
        <v>34</v>
      </c>
      <c r="B16" s="140" t="s">
        <v>70</v>
      </c>
      <c r="C16" s="140" t="s">
        <v>2</v>
      </c>
      <c r="D16" s="140" t="s">
        <v>51</v>
      </c>
      <c r="E16" s="140" t="s">
        <v>91</v>
      </c>
      <c r="F16" s="141"/>
    </row>
    <row r="17" spans="1:7" x14ac:dyDescent="0.4">
      <c r="A17" s="115" t="s">
        <v>84</v>
      </c>
      <c r="B17" s="146"/>
      <c r="C17" s="136"/>
      <c r="D17" s="136"/>
      <c r="E17" s="136"/>
      <c r="F17" s="112"/>
    </row>
    <row r="18" spans="1:7" x14ac:dyDescent="0.4">
      <c r="A18" s="115" t="s">
        <v>85</v>
      </c>
      <c r="B18" s="146"/>
      <c r="C18" s="136"/>
      <c r="D18" s="136"/>
      <c r="E18" s="136"/>
      <c r="F18" s="112"/>
    </row>
    <row r="19" spans="1:7" x14ac:dyDescent="0.4">
      <c r="A19" s="115" t="s">
        <v>86</v>
      </c>
      <c r="B19" s="146"/>
      <c r="C19" s="136"/>
      <c r="D19" s="136"/>
      <c r="E19" s="136"/>
      <c r="F19" s="112"/>
    </row>
    <row r="20" spans="1:7" ht="6" customHeight="1" x14ac:dyDescent="0.4">
      <c r="A20" s="144"/>
      <c r="B20" s="144"/>
      <c r="C20" s="144"/>
      <c r="D20" s="144"/>
      <c r="E20" s="144"/>
      <c r="F20" s="112"/>
    </row>
    <row r="21" spans="1:7" s="138" customFormat="1" ht="24" customHeight="1" x14ac:dyDescent="0.35">
      <c r="A21" s="145" t="s">
        <v>92</v>
      </c>
      <c r="B21" s="145"/>
      <c r="C21" s="145"/>
      <c r="D21" s="145"/>
      <c r="E21" s="145"/>
      <c r="F21" s="137"/>
    </row>
    <row r="22" spans="1:7" s="142" customFormat="1" ht="17.5" x14ac:dyDescent="0.35">
      <c r="A22" s="139" t="s">
        <v>34</v>
      </c>
      <c r="B22" s="140" t="s">
        <v>70</v>
      </c>
      <c r="C22" s="140" t="s">
        <v>2</v>
      </c>
      <c r="D22" s="140" t="s">
        <v>51</v>
      </c>
      <c r="E22" s="140" t="s">
        <v>91</v>
      </c>
      <c r="F22" s="141"/>
    </row>
    <row r="23" spans="1:7" x14ac:dyDescent="0.4">
      <c r="A23" s="115" t="s">
        <v>87</v>
      </c>
      <c r="B23" s="147"/>
      <c r="C23" s="136"/>
      <c r="D23" s="136"/>
      <c r="E23" s="136"/>
      <c r="F23" s="148"/>
      <c r="G23" s="149"/>
    </row>
    <row r="24" spans="1:7" x14ac:dyDescent="0.4">
      <c r="A24" s="115" t="s">
        <v>88</v>
      </c>
      <c r="B24" s="147"/>
      <c r="C24" s="136"/>
      <c r="D24" s="136"/>
      <c r="E24" s="136"/>
      <c r="F24" s="112"/>
    </row>
    <row r="25" spans="1:7" x14ac:dyDescent="0.4">
      <c r="A25" s="112"/>
      <c r="B25" s="150"/>
      <c r="C25" s="150"/>
      <c r="D25" s="150"/>
      <c r="E25" s="150"/>
      <c r="F25" s="112"/>
    </row>
  </sheetData>
  <dataValidations count="2">
    <dataValidation type="list" allowBlank="1" showInputMessage="1" showErrorMessage="1" sqref="B4" xr:uid="{18A3B723-2336-4075-94B9-2408F0232A64}">
      <formula1>"Shrawan,Bhadra,Ashwin,Kartik,Mangsir,Poush,Magh,Falgun,Chaitra,Baisakh,Jestha,Ashad"</formula1>
    </dataValidation>
    <dataValidation type="list" allowBlank="1" showInputMessage="1" showErrorMessage="1" sqref="B5" xr:uid="{760A3DB7-8C32-4942-B4E7-A131A7BDB31E}">
      <formula1>"Yes,No"</formula1>
    </dataValidation>
  </dataValidations>
  <pageMargins left="0.7" right="0.7" top="0.75" bottom="0.75" header="0.3" footer="0.3"/>
  <pageSetup paperSize="9" orientation="landscape" verticalDpi="0" r:id="rId1"/>
  <colBreaks count="1" manualBreakCount="1">
    <brk id="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SaveProductionEntry">
                <anchor moveWithCells="1" sizeWithCells="1">
                  <from>
                    <xdr:col>2</xdr:col>
                    <xdr:colOff>317500</xdr:colOff>
                    <xdr:row>0</xdr:row>
                    <xdr:rowOff>184150</xdr:rowOff>
                  </from>
                  <to>
                    <xdr:col>5</xdr:col>
                    <xdr:colOff>25400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E10B544-6FCF-4445-922E-E6F42C8911CE}">
          <x14:formula1>
            <xm:f>FG_Master!$B:$B</xm:f>
          </x14:formula1>
          <xm:sqref>B17:B19</xm:sqref>
        </x14:dataValidation>
        <x14:dataValidation type="list" allowBlank="1" showInputMessage="1" showErrorMessage="1" xr:uid="{702668BE-A09A-4B32-9425-048AF25C9DE2}">
          <x14:formula1>
            <xm:f>BP_Master!$B:$B</xm:f>
          </x14:formula1>
          <xm:sqref>B23:B24</xm:sqref>
        </x14:dataValidation>
        <x14:dataValidation type="list" allowBlank="1" showInputMessage="1" showErrorMessage="1" xr:uid="{E8D18A44-2EFF-4345-9C01-42592213CC43}">
          <x14:formula1>
            <xm:f>MM_ENTRY!$D:$D</xm:f>
          </x14:formula1>
          <xm:sqref>C9 C23 C17</xm:sqref>
        </x14:dataValidation>
        <x14:dataValidation type="list" allowBlank="1" showInputMessage="1" showErrorMessage="1" xr:uid="{5AB91C79-5D74-4158-815D-7BC2AA0356FF}">
          <x14:formula1>
            <xm:f>RM_Master!$B:$B</xm:f>
          </x14:formula1>
          <xm:sqref>B9:B13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E9C3E-2AD6-43B4-9744-9FF00DEA40DC}">
  <sheetPr codeName="Sheet7">
    <tabColor rgb="FFFFFF00"/>
  </sheetPr>
  <dimension ref="A1:H5"/>
  <sheetViews>
    <sheetView showGridLines="0" zoomScaleNormal="100" workbookViewId="0">
      <selection activeCell="D10" sqref="D10"/>
    </sheetView>
  </sheetViews>
  <sheetFormatPr defaultRowHeight="14.5" x14ac:dyDescent="0.35"/>
  <cols>
    <col min="1" max="1" width="18.26953125" style="5" bestFit="1" customWidth="1"/>
    <col min="2" max="2" width="10.6328125" style="5" customWidth="1"/>
    <col min="3" max="3" width="27.6328125" style="5" customWidth="1"/>
    <col min="4" max="4" width="22.54296875" style="5" customWidth="1"/>
    <col min="5" max="5" width="6.6328125" style="89" customWidth="1"/>
    <col min="6" max="6" width="12.90625" style="5" bestFit="1" customWidth="1"/>
    <col min="7" max="7" width="14.81640625" style="5" customWidth="1"/>
    <col min="8" max="8" width="13.90625" style="5" customWidth="1"/>
  </cols>
  <sheetData>
    <row r="1" spans="1:8" s="77" customFormat="1" x14ac:dyDescent="0.35">
      <c r="A1" s="70" t="s">
        <v>148</v>
      </c>
      <c r="B1" s="70" t="s">
        <v>127</v>
      </c>
      <c r="C1" s="70" t="s">
        <v>125</v>
      </c>
      <c r="D1" s="70" t="s">
        <v>128</v>
      </c>
      <c r="E1" s="69" t="s">
        <v>33</v>
      </c>
      <c r="F1" s="70" t="s">
        <v>149</v>
      </c>
      <c r="G1" s="70" t="s">
        <v>150</v>
      </c>
      <c r="H1" s="70" t="s">
        <v>134</v>
      </c>
    </row>
    <row r="2" spans="1:8" x14ac:dyDescent="0.35">
      <c r="A2" s="101" t="s">
        <v>246</v>
      </c>
      <c r="B2" s="101" t="s">
        <v>247</v>
      </c>
      <c r="C2" s="101" t="s">
        <v>248</v>
      </c>
      <c r="D2" s="101" t="s">
        <v>249</v>
      </c>
      <c r="E2" s="105" t="s">
        <v>250</v>
      </c>
      <c r="F2" s="101">
        <v>1000000</v>
      </c>
      <c r="G2" s="101"/>
      <c r="H2" s="101" t="s">
        <v>251</v>
      </c>
    </row>
    <row r="3" spans="1:8" x14ac:dyDescent="0.35">
      <c r="A3" s="101" t="s">
        <v>252</v>
      </c>
      <c r="B3" s="101" t="s">
        <v>253</v>
      </c>
      <c r="C3" s="101" t="s">
        <v>248</v>
      </c>
      <c r="D3" s="101" t="s">
        <v>249</v>
      </c>
      <c r="E3" s="105" t="s">
        <v>250</v>
      </c>
      <c r="F3" s="101">
        <v>450000</v>
      </c>
      <c r="G3" s="101"/>
      <c r="H3" s="101" t="s">
        <v>254</v>
      </c>
    </row>
    <row r="4" spans="1:8" x14ac:dyDescent="0.35">
      <c r="A4" s="101" t="s">
        <v>246</v>
      </c>
      <c r="B4" s="101" t="s">
        <v>247</v>
      </c>
      <c r="C4" s="101" t="s">
        <v>248</v>
      </c>
      <c r="D4" s="101" t="s">
        <v>249</v>
      </c>
      <c r="E4" s="105" t="s">
        <v>250</v>
      </c>
      <c r="F4" s="5">
        <v>316151</v>
      </c>
      <c r="H4" s="101" t="s">
        <v>255</v>
      </c>
    </row>
    <row r="5" spans="1:8" x14ac:dyDescent="0.35">
      <c r="A5" s="101" t="s">
        <v>252</v>
      </c>
      <c r="B5" s="101" t="s">
        <v>253</v>
      </c>
      <c r="C5" s="101" t="s">
        <v>248</v>
      </c>
      <c r="D5" s="101" t="s">
        <v>249</v>
      </c>
      <c r="E5" s="105" t="s">
        <v>250</v>
      </c>
      <c r="F5" s="101">
        <v>466317.5</v>
      </c>
      <c r="G5" s="101"/>
      <c r="H5" s="101" t="s">
        <v>256</v>
      </c>
    </row>
  </sheetData>
  <pageMargins left="0.7" right="0.7" top="0.75" bottom="0.75" header="0.3" footer="0.3"/>
  <pageSetup paperSize="9" scale="68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8B4CC-0D02-48E5-A84C-A0BC59C6F81D}">
  <sheetPr codeName="Sheet2">
    <tabColor rgb="FFFFFF00"/>
  </sheetPr>
  <dimension ref="A1:H49"/>
  <sheetViews>
    <sheetView workbookViewId="0">
      <selection activeCell="F8" sqref="F8"/>
    </sheetView>
  </sheetViews>
  <sheetFormatPr defaultRowHeight="14" x14ac:dyDescent="0.3"/>
  <cols>
    <col min="1" max="1" width="19.6328125" style="43" customWidth="1"/>
    <col min="2" max="2" width="17.90625" style="93" bestFit="1" customWidth="1"/>
    <col min="3" max="3" width="17.1796875" style="8" bestFit="1" customWidth="1"/>
    <col min="4" max="5" width="21.81640625" style="9" bestFit="1" customWidth="1"/>
    <col min="6" max="6" width="21.90625" style="9" bestFit="1" customWidth="1"/>
    <col min="7" max="7" width="21.90625" style="43" bestFit="1" customWidth="1"/>
    <col min="8" max="8" width="21.453125" style="43" bestFit="1" customWidth="1"/>
    <col min="9" max="9" width="8.7265625" style="2"/>
    <col min="10" max="10" width="9.54296875" style="2" bestFit="1" customWidth="1"/>
    <col min="11" max="16384" width="8.7265625" style="2"/>
  </cols>
  <sheetData>
    <row r="1" spans="1:8" s="4" customFormat="1" x14ac:dyDescent="0.3">
      <c r="A1" s="100" t="s">
        <v>16</v>
      </c>
      <c r="B1" s="180" t="s">
        <v>3</v>
      </c>
      <c r="C1" s="100" t="s">
        <v>4</v>
      </c>
      <c r="D1" s="7" t="s">
        <v>5</v>
      </c>
      <c r="E1" s="7" t="s">
        <v>6</v>
      </c>
      <c r="F1" s="7" t="s">
        <v>2</v>
      </c>
      <c r="G1" s="100" t="s">
        <v>7</v>
      </c>
      <c r="H1" s="100" t="s">
        <v>9</v>
      </c>
    </row>
    <row r="2" spans="1:8" s="67" customFormat="1" x14ac:dyDescent="0.3">
      <c r="A2" s="94">
        <v>45854</v>
      </c>
      <c r="B2" s="93" t="s">
        <v>191</v>
      </c>
      <c r="C2" s="8" t="s">
        <v>191</v>
      </c>
      <c r="D2" s="9" t="s">
        <v>171</v>
      </c>
      <c r="E2" s="9" t="s">
        <v>172</v>
      </c>
      <c r="F2" s="9" t="s">
        <v>8</v>
      </c>
      <c r="G2" s="43">
        <v>30</v>
      </c>
      <c r="H2" s="43">
        <v>8160</v>
      </c>
    </row>
    <row r="3" spans="1:8" s="67" customFormat="1" x14ac:dyDescent="0.3">
      <c r="A3" s="94">
        <v>45854</v>
      </c>
      <c r="B3" s="93" t="s">
        <v>192</v>
      </c>
      <c r="C3" s="8" t="s">
        <v>192</v>
      </c>
      <c r="D3" s="9" t="s">
        <v>171</v>
      </c>
      <c r="E3" s="9" t="s">
        <v>172</v>
      </c>
      <c r="F3" s="9" t="s">
        <v>8</v>
      </c>
      <c r="G3" s="43">
        <v>30</v>
      </c>
      <c r="H3" s="43">
        <v>4140</v>
      </c>
    </row>
    <row r="4" spans="1:8" x14ac:dyDescent="0.3">
      <c r="A4" s="94">
        <v>45854</v>
      </c>
      <c r="B4" s="93" t="s">
        <v>193</v>
      </c>
      <c r="C4" s="8" t="s">
        <v>193</v>
      </c>
      <c r="D4" s="9" t="s">
        <v>171</v>
      </c>
      <c r="E4" s="9" t="s">
        <v>172</v>
      </c>
      <c r="F4" s="9" t="s">
        <v>8</v>
      </c>
      <c r="G4" s="43">
        <v>25</v>
      </c>
      <c r="H4" s="43">
        <v>3575</v>
      </c>
    </row>
    <row r="5" spans="1:8" x14ac:dyDescent="0.3">
      <c r="A5" s="94">
        <v>45854</v>
      </c>
      <c r="B5" s="93" t="s">
        <v>189</v>
      </c>
      <c r="C5" s="8" t="s">
        <v>189</v>
      </c>
      <c r="D5" s="9" t="s">
        <v>171</v>
      </c>
      <c r="E5" s="9" t="s">
        <v>172</v>
      </c>
      <c r="F5" s="9" t="s">
        <v>8</v>
      </c>
      <c r="G5" s="43">
        <v>30</v>
      </c>
      <c r="H5" s="43">
        <v>4350</v>
      </c>
    </row>
    <row r="6" spans="1:8" x14ac:dyDescent="0.3">
      <c r="A6" s="94">
        <v>45854</v>
      </c>
      <c r="B6" s="93" t="s">
        <v>194</v>
      </c>
      <c r="C6" s="8" t="s">
        <v>194</v>
      </c>
      <c r="D6" s="9" t="s">
        <v>171</v>
      </c>
      <c r="E6" s="9" t="s">
        <v>172</v>
      </c>
      <c r="F6" s="9" t="s">
        <v>8</v>
      </c>
      <c r="G6" s="43">
        <v>30</v>
      </c>
      <c r="H6" s="43">
        <v>3900</v>
      </c>
    </row>
    <row r="7" spans="1:8" x14ac:dyDescent="0.3">
      <c r="A7" s="94">
        <v>45854</v>
      </c>
      <c r="B7" s="93" t="s">
        <v>243</v>
      </c>
      <c r="C7" s="8" t="s">
        <v>243</v>
      </c>
      <c r="D7" s="9" t="s">
        <v>171</v>
      </c>
      <c r="E7" s="9" t="s">
        <v>172</v>
      </c>
      <c r="F7" s="9" t="s">
        <v>8</v>
      </c>
      <c r="G7" s="43">
        <v>300</v>
      </c>
      <c r="H7" s="43">
        <v>27600</v>
      </c>
    </row>
    <row r="8" spans="1:8" x14ac:dyDescent="0.3">
      <c r="A8" s="94">
        <v>45854</v>
      </c>
      <c r="B8" s="93" t="s">
        <v>195</v>
      </c>
      <c r="C8" s="8" t="s">
        <v>195</v>
      </c>
      <c r="D8" s="9" t="s">
        <v>171</v>
      </c>
      <c r="E8" s="9" t="s">
        <v>172</v>
      </c>
      <c r="F8" s="9" t="s">
        <v>8</v>
      </c>
      <c r="G8" s="43">
        <v>50</v>
      </c>
      <c r="H8" s="43">
        <v>7000</v>
      </c>
    </row>
    <row r="9" spans="1:8" x14ac:dyDescent="0.3">
      <c r="A9" s="94">
        <v>45854</v>
      </c>
      <c r="B9" s="93" t="s">
        <v>190</v>
      </c>
      <c r="C9" s="93" t="s">
        <v>190</v>
      </c>
      <c r="D9" s="9" t="s">
        <v>171</v>
      </c>
      <c r="E9" s="9" t="s">
        <v>172</v>
      </c>
      <c r="F9" s="9" t="s">
        <v>8</v>
      </c>
      <c r="G9" s="43">
        <v>30</v>
      </c>
      <c r="H9" s="43">
        <v>5250</v>
      </c>
    </row>
    <row r="10" spans="1:8" x14ac:dyDescent="0.3">
      <c r="A10" s="94">
        <v>45854</v>
      </c>
      <c r="B10" s="93" t="s">
        <v>196</v>
      </c>
      <c r="C10" s="8" t="s">
        <v>196</v>
      </c>
      <c r="D10" s="9" t="s">
        <v>171</v>
      </c>
      <c r="E10" s="9" t="s">
        <v>172</v>
      </c>
      <c r="F10" s="9" t="s">
        <v>8</v>
      </c>
      <c r="G10" s="43">
        <v>50</v>
      </c>
      <c r="H10" s="43">
        <v>3000</v>
      </c>
    </row>
    <row r="11" spans="1:8" x14ac:dyDescent="0.3">
      <c r="A11" s="94">
        <v>45854</v>
      </c>
      <c r="B11" s="93" t="s">
        <v>170</v>
      </c>
      <c r="C11" s="93" t="s">
        <v>170</v>
      </c>
      <c r="D11" s="9" t="s">
        <v>171</v>
      </c>
      <c r="E11" s="9" t="s">
        <v>172</v>
      </c>
      <c r="F11" s="9" t="s">
        <v>8</v>
      </c>
      <c r="G11" s="43">
        <v>18393.14</v>
      </c>
      <c r="H11" s="43">
        <v>2078425</v>
      </c>
    </row>
    <row r="12" spans="1:8" x14ac:dyDescent="0.3">
      <c r="A12" s="94">
        <v>45854</v>
      </c>
      <c r="B12" s="93" t="s">
        <v>178</v>
      </c>
      <c r="C12" s="8" t="s">
        <v>178</v>
      </c>
      <c r="D12" s="9" t="s">
        <v>172</v>
      </c>
      <c r="E12" s="9" t="s">
        <v>172</v>
      </c>
      <c r="F12" s="9" t="s">
        <v>8</v>
      </c>
    </row>
    <row r="13" spans="1:8" x14ac:dyDescent="0.3">
      <c r="A13" s="94">
        <v>45854</v>
      </c>
      <c r="B13" s="93" t="s">
        <v>182</v>
      </c>
      <c r="C13" s="8" t="s">
        <v>182</v>
      </c>
      <c r="D13" s="9" t="s">
        <v>171</v>
      </c>
      <c r="E13" s="9" t="s">
        <v>172</v>
      </c>
      <c r="F13" s="9" t="s">
        <v>8</v>
      </c>
    </row>
    <row r="14" spans="1:8" x14ac:dyDescent="0.3">
      <c r="A14" s="94">
        <v>45854</v>
      </c>
      <c r="B14" s="93" t="s">
        <v>197</v>
      </c>
      <c r="C14" s="8" t="s">
        <v>197</v>
      </c>
      <c r="D14" s="9" t="s">
        <v>171</v>
      </c>
      <c r="E14" s="9" t="s">
        <v>172</v>
      </c>
      <c r="F14" s="9" t="s">
        <v>8</v>
      </c>
    </row>
    <row r="15" spans="1:8" x14ac:dyDescent="0.3">
      <c r="A15" s="94">
        <v>45854</v>
      </c>
      <c r="B15" s="93" t="s">
        <v>198</v>
      </c>
      <c r="C15" s="8" t="s">
        <v>198</v>
      </c>
      <c r="D15" s="9" t="s">
        <v>171</v>
      </c>
      <c r="E15" s="9" t="s">
        <v>172</v>
      </c>
      <c r="F15" s="9" t="s">
        <v>8</v>
      </c>
    </row>
    <row r="16" spans="1:8" x14ac:dyDescent="0.3">
      <c r="A16" s="94">
        <v>45854</v>
      </c>
      <c r="B16" s="93" t="s">
        <v>199</v>
      </c>
      <c r="C16" s="8" t="s">
        <v>199</v>
      </c>
      <c r="D16" s="9" t="s">
        <v>171</v>
      </c>
      <c r="E16" s="9" t="s">
        <v>172</v>
      </c>
      <c r="F16" s="9" t="s">
        <v>8</v>
      </c>
    </row>
    <row r="17" spans="1:6" x14ac:dyDescent="0.3">
      <c r="A17" s="94">
        <v>45854</v>
      </c>
      <c r="B17" s="93" t="s">
        <v>200</v>
      </c>
      <c r="C17" s="8" t="s">
        <v>200</v>
      </c>
      <c r="D17" s="9" t="s">
        <v>171</v>
      </c>
      <c r="E17" s="9" t="s">
        <v>172</v>
      </c>
      <c r="F17" s="9" t="s">
        <v>8</v>
      </c>
    </row>
    <row r="18" spans="1:6" x14ac:dyDescent="0.3">
      <c r="A18" s="94">
        <v>45854</v>
      </c>
      <c r="B18" s="93" t="s">
        <v>201</v>
      </c>
      <c r="C18" s="8" t="s">
        <v>201</v>
      </c>
      <c r="D18" s="9" t="s">
        <v>171</v>
      </c>
      <c r="E18" s="9" t="s">
        <v>172</v>
      </c>
      <c r="F18" s="9" t="s">
        <v>8</v>
      </c>
    </row>
    <row r="19" spans="1:6" x14ac:dyDescent="0.3">
      <c r="A19" s="94">
        <v>45854</v>
      </c>
      <c r="B19" s="93" t="s">
        <v>202</v>
      </c>
      <c r="C19" s="8" t="s">
        <v>202</v>
      </c>
      <c r="D19" s="9" t="s">
        <v>171</v>
      </c>
      <c r="E19" s="9" t="s">
        <v>172</v>
      </c>
      <c r="F19" s="9" t="s">
        <v>8</v>
      </c>
    </row>
    <row r="20" spans="1:6" x14ac:dyDescent="0.3">
      <c r="A20" s="94">
        <v>45854</v>
      </c>
      <c r="B20" s="93" t="s">
        <v>203</v>
      </c>
      <c r="C20" s="8" t="s">
        <v>203</v>
      </c>
      <c r="D20" s="9" t="s">
        <v>171</v>
      </c>
      <c r="E20" s="9" t="s">
        <v>172</v>
      </c>
      <c r="F20" s="9" t="s">
        <v>8</v>
      </c>
    </row>
    <row r="21" spans="1:6" x14ac:dyDescent="0.3">
      <c r="A21" s="94">
        <v>45854</v>
      </c>
      <c r="B21" s="93" t="s">
        <v>208</v>
      </c>
      <c r="C21" s="8" t="s">
        <v>208</v>
      </c>
      <c r="D21" s="9" t="s">
        <v>172</v>
      </c>
      <c r="E21" s="9" t="s">
        <v>172</v>
      </c>
      <c r="F21" s="9" t="s">
        <v>8</v>
      </c>
    </row>
    <row r="22" spans="1:6" x14ac:dyDescent="0.3">
      <c r="A22" s="94">
        <v>45854</v>
      </c>
      <c r="B22" s="93" t="s">
        <v>209</v>
      </c>
      <c r="C22" s="8" t="s">
        <v>209</v>
      </c>
      <c r="D22" s="9" t="s">
        <v>172</v>
      </c>
      <c r="E22" s="9" t="s">
        <v>172</v>
      </c>
      <c r="F22" s="9" t="s">
        <v>8</v>
      </c>
    </row>
    <row r="23" spans="1:6" x14ac:dyDescent="0.3">
      <c r="A23" s="94">
        <v>45854</v>
      </c>
      <c r="B23" s="93" t="s">
        <v>210</v>
      </c>
      <c r="C23" s="8" t="s">
        <v>210</v>
      </c>
      <c r="D23" s="9" t="s">
        <v>172</v>
      </c>
      <c r="E23" s="9" t="s">
        <v>172</v>
      </c>
      <c r="F23" s="9" t="s">
        <v>8</v>
      </c>
    </row>
    <row r="24" spans="1:6" x14ac:dyDescent="0.3">
      <c r="A24" s="94">
        <v>45854</v>
      </c>
      <c r="B24" s="93" t="s">
        <v>212</v>
      </c>
      <c r="C24" s="8" t="s">
        <v>212</v>
      </c>
      <c r="D24" s="9" t="s">
        <v>171</v>
      </c>
      <c r="E24" s="9" t="s">
        <v>172</v>
      </c>
      <c r="F24" s="9" t="s">
        <v>8</v>
      </c>
    </row>
    <row r="25" spans="1:6" x14ac:dyDescent="0.3">
      <c r="A25" s="94">
        <v>45854</v>
      </c>
      <c r="B25" s="93" t="s">
        <v>213</v>
      </c>
      <c r="C25" s="8" t="s">
        <v>213</v>
      </c>
      <c r="D25" s="9" t="s">
        <v>171</v>
      </c>
      <c r="E25" s="9" t="s">
        <v>172</v>
      </c>
      <c r="F25" s="9" t="s">
        <v>8</v>
      </c>
    </row>
    <row r="26" spans="1:6" x14ac:dyDescent="0.3">
      <c r="A26" s="94">
        <v>45854</v>
      </c>
      <c r="B26" s="93" t="s">
        <v>214</v>
      </c>
      <c r="C26" s="8" t="s">
        <v>214</v>
      </c>
      <c r="D26" s="9" t="s">
        <v>171</v>
      </c>
      <c r="E26" s="9" t="s">
        <v>172</v>
      </c>
      <c r="F26" s="9" t="s">
        <v>8</v>
      </c>
    </row>
    <row r="27" spans="1:6" x14ac:dyDescent="0.3">
      <c r="A27" s="94">
        <v>45854</v>
      </c>
      <c r="B27" s="93" t="s">
        <v>215</v>
      </c>
      <c r="C27" s="8" t="s">
        <v>215</v>
      </c>
      <c r="D27" s="9" t="s">
        <v>171</v>
      </c>
      <c r="E27" s="9" t="s">
        <v>172</v>
      </c>
      <c r="F27" s="9" t="s">
        <v>8</v>
      </c>
    </row>
    <row r="28" spans="1:6" x14ac:dyDescent="0.3">
      <c r="A28" s="94">
        <v>45854</v>
      </c>
      <c r="B28" s="93" t="s">
        <v>216</v>
      </c>
      <c r="C28" s="8" t="s">
        <v>216</v>
      </c>
      <c r="D28" s="9" t="s">
        <v>171</v>
      </c>
      <c r="E28" s="9" t="s">
        <v>172</v>
      </c>
      <c r="F28" s="9" t="s">
        <v>8</v>
      </c>
    </row>
    <row r="29" spans="1:6" x14ac:dyDescent="0.3">
      <c r="A29" s="94">
        <v>45854</v>
      </c>
      <c r="B29" s="93" t="s">
        <v>217</v>
      </c>
      <c r="C29" s="8" t="s">
        <v>217</v>
      </c>
      <c r="D29" s="9" t="s">
        <v>172</v>
      </c>
      <c r="E29" s="9" t="s">
        <v>171</v>
      </c>
      <c r="F29" s="9" t="s">
        <v>8</v>
      </c>
    </row>
    <row r="30" spans="1:6" x14ac:dyDescent="0.3">
      <c r="A30" s="94">
        <v>45854</v>
      </c>
      <c r="B30" s="93" t="s">
        <v>218</v>
      </c>
      <c r="C30" s="8" t="s">
        <v>218</v>
      </c>
      <c r="D30" s="9" t="s">
        <v>171</v>
      </c>
      <c r="E30" s="9" t="s">
        <v>172</v>
      </c>
      <c r="F30" s="9" t="s">
        <v>8</v>
      </c>
    </row>
    <row r="31" spans="1:6" x14ac:dyDescent="0.3">
      <c r="A31" s="94">
        <v>45854</v>
      </c>
      <c r="B31" s="93" t="s">
        <v>219</v>
      </c>
      <c r="C31" s="8" t="s">
        <v>219</v>
      </c>
      <c r="D31" s="9" t="s">
        <v>171</v>
      </c>
      <c r="E31" s="9" t="s">
        <v>172</v>
      </c>
      <c r="F31" s="9" t="s">
        <v>8</v>
      </c>
    </row>
    <row r="32" spans="1:6" x14ac:dyDescent="0.3">
      <c r="A32" s="94">
        <v>45854</v>
      </c>
      <c r="B32" s="93" t="s">
        <v>220</v>
      </c>
      <c r="C32" s="8" t="s">
        <v>220</v>
      </c>
      <c r="D32" s="9" t="s">
        <v>171</v>
      </c>
      <c r="E32" s="9" t="s">
        <v>172</v>
      </c>
      <c r="F32" s="9" t="s">
        <v>8</v>
      </c>
    </row>
    <row r="33" spans="1:6" x14ac:dyDescent="0.3">
      <c r="A33" s="94">
        <v>45854</v>
      </c>
      <c r="B33" s="93" t="s">
        <v>221</v>
      </c>
      <c r="C33" s="8" t="s">
        <v>221</v>
      </c>
      <c r="D33" s="9" t="s">
        <v>171</v>
      </c>
      <c r="E33" s="9" t="s">
        <v>172</v>
      </c>
      <c r="F33" s="9" t="s">
        <v>8</v>
      </c>
    </row>
    <row r="34" spans="1:6" x14ac:dyDescent="0.3">
      <c r="A34" s="94">
        <v>45854</v>
      </c>
      <c r="B34" s="93" t="s">
        <v>222</v>
      </c>
      <c r="C34" s="8" t="s">
        <v>222</v>
      </c>
      <c r="D34" s="9" t="s">
        <v>171</v>
      </c>
      <c r="E34" s="9" t="s">
        <v>172</v>
      </c>
      <c r="F34" s="9" t="s">
        <v>8</v>
      </c>
    </row>
    <row r="35" spans="1:6" x14ac:dyDescent="0.3">
      <c r="A35" s="94">
        <v>45854</v>
      </c>
      <c r="B35" s="93" t="s">
        <v>223</v>
      </c>
      <c r="C35" s="8" t="s">
        <v>223</v>
      </c>
      <c r="D35" s="9" t="s">
        <v>171</v>
      </c>
      <c r="E35" s="9" t="s">
        <v>172</v>
      </c>
      <c r="F35" s="9" t="s">
        <v>8</v>
      </c>
    </row>
    <row r="36" spans="1:6" x14ac:dyDescent="0.3">
      <c r="A36" s="94">
        <v>45854</v>
      </c>
      <c r="B36" s="93" t="s">
        <v>224</v>
      </c>
      <c r="C36" s="8" t="s">
        <v>224</v>
      </c>
      <c r="D36" s="9" t="s">
        <v>171</v>
      </c>
      <c r="E36" s="9" t="s">
        <v>172</v>
      </c>
      <c r="F36" s="9" t="s">
        <v>8</v>
      </c>
    </row>
    <row r="37" spans="1:6" x14ac:dyDescent="0.3">
      <c r="A37" s="94">
        <v>45854</v>
      </c>
      <c r="B37" s="8" t="s">
        <v>235</v>
      </c>
      <c r="C37" s="8" t="s">
        <v>235</v>
      </c>
      <c r="D37" s="9" t="s">
        <v>171</v>
      </c>
      <c r="E37" s="9" t="s">
        <v>172</v>
      </c>
      <c r="F37" s="9" t="s">
        <v>8</v>
      </c>
    </row>
    <row r="38" spans="1:6" x14ac:dyDescent="0.3">
      <c r="A38" s="94">
        <v>45854</v>
      </c>
      <c r="B38" s="93" t="s">
        <v>230</v>
      </c>
      <c r="C38" s="93" t="s">
        <v>230</v>
      </c>
      <c r="D38" s="9" t="s">
        <v>171</v>
      </c>
      <c r="E38" s="9" t="s">
        <v>172</v>
      </c>
      <c r="F38" s="9" t="s">
        <v>8</v>
      </c>
    </row>
    <row r="39" spans="1:6" x14ac:dyDescent="0.3">
      <c r="A39" s="94">
        <v>45854</v>
      </c>
      <c r="B39" s="93" t="s">
        <v>231</v>
      </c>
      <c r="C39" s="8" t="s">
        <v>231</v>
      </c>
      <c r="D39" s="9" t="s">
        <v>171</v>
      </c>
      <c r="E39" s="9" t="s">
        <v>172</v>
      </c>
      <c r="F39" s="9" t="s">
        <v>8</v>
      </c>
    </row>
    <row r="40" spans="1:6" x14ac:dyDescent="0.3">
      <c r="A40" s="94">
        <v>45854</v>
      </c>
      <c r="B40" s="93" t="s">
        <v>232</v>
      </c>
      <c r="C40" s="8" t="s">
        <v>232</v>
      </c>
      <c r="D40" s="9" t="s">
        <v>171</v>
      </c>
      <c r="E40" s="9" t="s">
        <v>172</v>
      </c>
      <c r="F40" s="9" t="s">
        <v>8</v>
      </c>
    </row>
    <row r="41" spans="1:6" x14ac:dyDescent="0.3">
      <c r="A41" s="94">
        <v>45854</v>
      </c>
      <c r="B41" s="93" t="s">
        <v>233</v>
      </c>
      <c r="C41" s="8" t="s">
        <v>233</v>
      </c>
      <c r="D41" s="9" t="s">
        <v>171</v>
      </c>
      <c r="E41" s="9" t="s">
        <v>172</v>
      </c>
      <c r="F41" s="9" t="s">
        <v>8</v>
      </c>
    </row>
    <row r="42" spans="1:6" x14ac:dyDescent="0.3">
      <c r="A42" s="94">
        <v>45854</v>
      </c>
      <c r="B42" s="93" t="s">
        <v>234</v>
      </c>
      <c r="C42" s="8" t="s">
        <v>234</v>
      </c>
      <c r="D42" s="9" t="s">
        <v>171</v>
      </c>
      <c r="E42" s="9" t="s">
        <v>172</v>
      </c>
      <c r="F42" s="9" t="s">
        <v>8</v>
      </c>
    </row>
    <row r="43" spans="1:6" x14ac:dyDescent="0.3">
      <c r="A43" s="94">
        <v>45854</v>
      </c>
      <c r="B43" s="93" t="s">
        <v>238</v>
      </c>
      <c r="C43" s="8" t="s">
        <v>238</v>
      </c>
      <c r="D43" s="9" t="s">
        <v>171</v>
      </c>
      <c r="E43" s="9" t="s">
        <v>172</v>
      </c>
      <c r="F43" s="9" t="s">
        <v>8</v>
      </c>
    </row>
    <row r="44" spans="1:6" x14ac:dyDescent="0.3">
      <c r="A44" s="94">
        <v>45854</v>
      </c>
      <c r="B44" s="93" t="s">
        <v>239</v>
      </c>
      <c r="C44" s="8" t="s">
        <v>239</v>
      </c>
      <c r="D44" s="9" t="s">
        <v>171</v>
      </c>
      <c r="E44" s="9" t="s">
        <v>172</v>
      </c>
      <c r="F44" s="9" t="s">
        <v>8</v>
      </c>
    </row>
    <row r="45" spans="1:6" x14ac:dyDescent="0.3">
      <c r="A45" s="94">
        <v>45854</v>
      </c>
      <c r="B45" s="93" t="s">
        <v>240</v>
      </c>
      <c r="C45" s="8" t="s">
        <v>240</v>
      </c>
      <c r="D45" s="9" t="s">
        <v>171</v>
      </c>
      <c r="E45" s="9" t="s">
        <v>172</v>
      </c>
      <c r="F45" s="9" t="s">
        <v>8</v>
      </c>
    </row>
    <row r="46" spans="1:6" x14ac:dyDescent="0.3">
      <c r="A46" s="94">
        <v>45854</v>
      </c>
      <c r="B46" s="93" t="s">
        <v>241</v>
      </c>
      <c r="C46" s="8" t="s">
        <v>241</v>
      </c>
      <c r="D46" s="9" t="s">
        <v>171</v>
      </c>
      <c r="E46" s="9" t="s">
        <v>172</v>
      </c>
      <c r="F46" s="9" t="s">
        <v>8</v>
      </c>
    </row>
    <row r="47" spans="1:6" x14ac:dyDescent="0.3">
      <c r="A47" s="94">
        <v>45854</v>
      </c>
      <c r="B47" s="93" t="s">
        <v>242</v>
      </c>
      <c r="C47" s="8" t="s">
        <v>242</v>
      </c>
      <c r="D47" s="9" t="s">
        <v>171</v>
      </c>
      <c r="E47" s="9" t="s">
        <v>172</v>
      </c>
      <c r="F47" s="9" t="s">
        <v>8</v>
      </c>
    </row>
    <row r="48" spans="1:6" x14ac:dyDescent="0.3">
      <c r="A48" s="92"/>
    </row>
    <row r="49" spans="1:1" x14ac:dyDescent="0.3">
      <c r="A49" s="9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1EB7-4215-4AFE-87ED-2D626A81DB58}">
  <sheetPr codeName="Sheet3">
    <tabColor rgb="FFFFFF00"/>
  </sheetPr>
  <dimension ref="A1:G8"/>
  <sheetViews>
    <sheetView showGridLines="0" workbookViewId="0">
      <selection activeCell="B9" sqref="B9"/>
    </sheetView>
  </sheetViews>
  <sheetFormatPr defaultRowHeight="14.5" x14ac:dyDescent="0.35"/>
  <cols>
    <col min="1" max="1" width="17.90625" style="5" bestFit="1" customWidth="1"/>
    <col min="2" max="2" width="17.1796875" style="5" bestFit="1" customWidth="1"/>
    <col min="3" max="3" width="16.36328125" style="5" bestFit="1" customWidth="1"/>
    <col min="4" max="4" width="13.36328125" style="5" bestFit="1" customWidth="1"/>
    <col min="5" max="5" width="9.26953125" style="5" customWidth="1"/>
    <col min="6" max="6" width="21.90625" style="5" bestFit="1" customWidth="1"/>
    <col min="7" max="7" width="21.453125" style="5" bestFit="1" customWidth="1"/>
  </cols>
  <sheetData>
    <row r="1" spans="1:7" s="2" customFormat="1" ht="14" x14ac:dyDescent="0.3">
      <c r="A1" s="3" t="s">
        <v>16</v>
      </c>
      <c r="B1" s="1" t="s">
        <v>11</v>
      </c>
      <c r="C1" s="1" t="s">
        <v>12</v>
      </c>
      <c r="D1" s="1" t="s">
        <v>5</v>
      </c>
      <c r="E1" s="3" t="s">
        <v>2</v>
      </c>
      <c r="F1" s="1" t="s">
        <v>7</v>
      </c>
      <c r="G1" s="1" t="s">
        <v>9</v>
      </c>
    </row>
    <row r="2" spans="1:7" x14ac:dyDescent="0.35">
      <c r="A2" s="82">
        <v>45854</v>
      </c>
      <c r="B2" s="5" t="s">
        <v>409</v>
      </c>
      <c r="C2" s="5" t="s">
        <v>409</v>
      </c>
      <c r="D2" s="5" t="s">
        <v>172</v>
      </c>
      <c r="E2" s="5" t="s">
        <v>17</v>
      </c>
      <c r="F2" s="5">
        <v>0</v>
      </c>
      <c r="G2" s="5">
        <v>0</v>
      </c>
    </row>
    <row r="3" spans="1:7" x14ac:dyDescent="0.35">
      <c r="A3" s="82">
        <v>45886</v>
      </c>
      <c r="B3" s="5" t="s">
        <v>501</v>
      </c>
      <c r="C3" s="5" t="s">
        <v>501</v>
      </c>
      <c r="D3" s="5" t="s">
        <v>171</v>
      </c>
      <c r="E3" s="5" t="s">
        <v>8</v>
      </c>
      <c r="F3" s="5">
        <v>0</v>
      </c>
      <c r="G3" s="5">
        <v>0</v>
      </c>
    </row>
    <row r="4" spans="1:7" x14ac:dyDescent="0.35">
      <c r="A4" s="94"/>
    </row>
    <row r="5" spans="1:7" x14ac:dyDescent="0.35">
      <c r="A5" s="94"/>
    </row>
    <row r="6" spans="1:7" x14ac:dyDescent="0.35">
      <c r="A6" s="99"/>
    </row>
    <row r="7" spans="1:7" x14ac:dyDescent="0.35">
      <c r="A7" s="99"/>
    </row>
    <row r="8" spans="1:7" x14ac:dyDescent="0.35">
      <c r="A8" s="9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97490-4565-455E-AAF0-CB191536EDD8}">
  <sheetPr codeName="Sheet4">
    <tabColor rgb="FFFFFF00"/>
  </sheetPr>
  <dimension ref="A1:G3"/>
  <sheetViews>
    <sheetView showGridLines="0" workbookViewId="0">
      <selection activeCell="E16" sqref="E16"/>
    </sheetView>
  </sheetViews>
  <sheetFormatPr defaultRowHeight="14.5" x14ac:dyDescent="0.35"/>
  <cols>
    <col min="1" max="1" width="17.1796875" style="5" bestFit="1" customWidth="1"/>
    <col min="2" max="2" width="16.6328125" style="5" bestFit="1" customWidth="1"/>
    <col min="3" max="3" width="15.90625" style="5" bestFit="1" customWidth="1"/>
    <col min="4" max="4" width="13.36328125" style="5" bestFit="1" customWidth="1"/>
    <col min="5" max="5" width="9.81640625" style="5" customWidth="1"/>
    <col min="6" max="6" width="21.90625" style="5" bestFit="1" customWidth="1"/>
    <col min="7" max="7" width="21.453125" style="5" bestFit="1" customWidth="1"/>
  </cols>
  <sheetData>
    <row r="1" spans="1:7" s="2" customFormat="1" ht="14" x14ac:dyDescent="0.3">
      <c r="A1" s="3" t="s">
        <v>16</v>
      </c>
      <c r="B1" s="1" t="s">
        <v>14</v>
      </c>
      <c r="C1" s="1" t="s">
        <v>15</v>
      </c>
      <c r="D1" s="1" t="s">
        <v>5</v>
      </c>
      <c r="E1" s="1" t="s">
        <v>2</v>
      </c>
      <c r="F1" s="1" t="s">
        <v>7</v>
      </c>
      <c r="G1" s="1" t="s">
        <v>9</v>
      </c>
    </row>
    <row r="2" spans="1:7" x14ac:dyDescent="0.35">
      <c r="A2" s="94">
        <v>45854</v>
      </c>
      <c r="B2" s="5" t="s">
        <v>410</v>
      </c>
      <c r="C2" s="5" t="s">
        <v>410</v>
      </c>
      <c r="D2" s="5" t="s">
        <v>171</v>
      </c>
      <c r="E2" s="5" t="s">
        <v>8</v>
      </c>
    </row>
    <row r="3" spans="1:7" x14ac:dyDescent="0.35">
      <c r="A3" s="9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3F8FF-8ED7-4E7F-8C99-94E47E7E497D}">
  <sheetPr codeName="Sheet6">
    <tabColor rgb="FFFFFF00"/>
  </sheetPr>
  <dimension ref="A1:H10"/>
  <sheetViews>
    <sheetView showGridLines="0" workbookViewId="0">
      <selection activeCell="E19" sqref="E19"/>
    </sheetView>
  </sheetViews>
  <sheetFormatPr defaultRowHeight="14.5" x14ac:dyDescent="0.35"/>
  <cols>
    <col min="1" max="1" width="16" style="5" bestFit="1" customWidth="1"/>
    <col min="2" max="2" width="15.36328125" style="5" customWidth="1"/>
    <col min="3" max="3" width="22.90625" style="5" bestFit="1" customWidth="1"/>
    <col min="4" max="4" width="18.7265625" style="5" customWidth="1"/>
    <col min="5" max="5" width="16.81640625" style="5" customWidth="1"/>
    <col min="6" max="6" width="24.81640625" style="5" customWidth="1"/>
    <col min="7" max="7" width="18.54296875" style="5" customWidth="1"/>
  </cols>
  <sheetData>
    <row r="1" spans="1:8" s="10" customFormat="1" x14ac:dyDescent="0.35">
      <c r="A1" s="7" t="s">
        <v>16</v>
      </c>
      <c r="B1" s="7" t="s">
        <v>33</v>
      </c>
      <c r="C1" s="7" t="s">
        <v>34</v>
      </c>
      <c r="D1" s="7" t="s">
        <v>35</v>
      </c>
      <c r="E1" s="7" t="s">
        <v>28</v>
      </c>
      <c r="F1" s="7" t="s">
        <v>29</v>
      </c>
      <c r="G1" s="7" t="s">
        <v>30</v>
      </c>
    </row>
    <row r="2" spans="1:8" s="25" customFormat="1" x14ac:dyDescent="0.35">
      <c r="A2" s="181">
        <v>45854</v>
      </c>
      <c r="B2" s="182" t="s">
        <v>37</v>
      </c>
      <c r="C2" s="182" t="s">
        <v>176</v>
      </c>
      <c r="D2" s="182">
        <v>600723602</v>
      </c>
      <c r="E2" s="182">
        <v>9802051660</v>
      </c>
      <c r="F2" s="182"/>
      <c r="G2" s="183">
        <v>1056949.03</v>
      </c>
      <c r="H2" s="24"/>
    </row>
    <row r="3" spans="1:8" s="25" customFormat="1" x14ac:dyDescent="0.35">
      <c r="A3" s="181">
        <v>45854</v>
      </c>
      <c r="B3" s="96" t="s">
        <v>37</v>
      </c>
      <c r="C3" s="96" t="s">
        <v>181</v>
      </c>
      <c r="D3" s="96">
        <v>303588188</v>
      </c>
      <c r="E3" s="96"/>
      <c r="F3" s="96"/>
      <c r="G3" s="97">
        <v>0</v>
      </c>
    </row>
    <row r="4" spans="1:8" s="25" customFormat="1" x14ac:dyDescent="0.35">
      <c r="A4" s="181">
        <v>45854</v>
      </c>
      <c r="B4" s="96" t="s">
        <v>37</v>
      </c>
      <c r="C4" s="96" t="s">
        <v>187</v>
      </c>
      <c r="D4" s="96">
        <v>303522140</v>
      </c>
      <c r="E4" s="96"/>
      <c r="F4" s="96" t="s">
        <v>188</v>
      </c>
      <c r="G4" s="97">
        <v>0</v>
      </c>
    </row>
    <row r="5" spans="1:8" s="25" customFormat="1" x14ac:dyDescent="0.35">
      <c r="A5" s="181">
        <v>45854</v>
      </c>
      <c r="B5" s="96" t="s">
        <v>37</v>
      </c>
      <c r="C5" s="96" t="s">
        <v>207</v>
      </c>
      <c r="D5" s="96">
        <v>615707857</v>
      </c>
      <c r="E5" s="96"/>
      <c r="F5" s="96"/>
      <c r="G5" s="97">
        <v>0</v>
      </c>
    </row>
    <row r="6" spans="1:8" s="25" customFormat="1" x14ac:dyDescent="0.35">
      <c r="A6" s="95">
        <v>46101</v>
      </c>
      <c r="B6" s="96" t="s">
        <v>37</v>
      </c>
      <c r="C6" s="96" t="s">
        <v>225</v>
      </c>
      <c r="D6" s="96" t="s">
        <v>226</v>
      </c>
      <c r="E6" s="96"/>
      <c r="F6" s="96"/>
      <c r="G6" s="97">
        <v>0</v>
      </c>
    </row>
    <row r="7" spans="1:8" s="25" customFormat="1" x14ac:dyDescent="0.35">
      <c r="A7" s="95">
        <v>46102</v>
      </c>
      <c r="B7" s="96" t="s">
        <v>37</v>
      </c>
      <c r="C7" s="96" t="s">
        <v>237</v>
      </c>
      <c r="D7" s="96" t="s">
        <v>236</v>
      </c>
      <c r="E7" s="96"/>
      <c r="F7" s="96"/>
      <c r="G7" s="97">
        <v>0</v>
      </c>
    </row>
    <row r="8" spans="1:8" s="25" customFormat="1" x14ac:dyDescent="0.35">
      <c r="A8" s="181">
        <v>45854</v>
      </c>
      <c r="B8" s="96" t="s">
        <v>37</v>
      </c>
      <c r="C8" s="96" t="s">
        <v>245</v>
      </c>
      <c r="D8" s="96">
        <v>616481143</v>
      </c>
      <c r="E8" s="96">
        <v>9855061958</v>
      </c>
      <c r="F8" s="96"/>
      <c r="G8" s="97">
        <v>0</v>
      </c>
    </row>
    <row r="9" spans="1:8" x14ac:dyDescent="0.35">
      <c r="A9" s="201">
        <v>45854</v>
      </c>
      <c r="B9" s="194" t="s">
        <v>437</v>
      </c>
      <c r="C9" s="194" t="s">
        <v>438</v>
      </c>
      <c r="D9" s="194" t="s">
        <v>439</v>
      </c>
      <c r="E9" s="194"/>
      <c r="F9" s="194"/>
      <c r="G9" s="195">
        <v>0</v>
      </c>
    </row>
    <row r="10" spans="1:8" x14ac:dyDescent="0.35">
      <c r="A10" s="98"/>
      <c r="B10" s="98"/>
      <c r="C10" s="98"/>
      <c r="D10" s="98"/>
      <c r="E10" s="98"/>
      <c r="F10" s="98"/>
      <c r="G10" s="9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A64F4-41FE-4231-BAA9-6470642DE244}">
  <sheetPr codeName="Sheet15">
    <tabColor rgb="FF92D050"/>
  </sheetPr>
  <dimension ref="A1:T193"/>
  <sheetViews>
    <sheetView showGridLines="0" topLeftCell="D1" zoomScale="92" workbookViewId="0">
      <pane ySplit="1" topLeftCell="A2" activePane="bottomLeft" state="frozen"/>
      <selection pane="bottomLeft" activeCell="Q17" sqref="Q17"/>
    </sheetView>
  </sheetViews>
  <sheetFormatPr defaultRowHeight="14" x14ac:dyDescent="0.3"/>
  <cols>
    <col min="1" max="1" width="15.453125" style="43" customWidth="1"/>
    <col min="2" max="2" width="14.36328125" style="8" customWidth="1"/>
    <col min="3" max="3" width="12.7265625" style="43" customWidth="1"/>
    <col min="4" max="4" width="20.1796875" style="93" customWidth="1"/>
    <col min="5" max="5" width="13.7265625" style="43" customWidth="1"/>
    <col min="6" max="6" width="18.26953125" style="43" customWidth="1"/>
    <col min="7" max="7" width="4.81640625" style="43" bestFit="1" customWidth="1"/>
    <col min="8" max="8" width="8.6328125" style="43" customWidth="1"/>
    <col min="9" max="9" width="11.26953125" style="43" customWidth="1"/>
    <col min="10" max="10" width="12.90625" style="43" bestFit="1" customWidth="1"/>
    <col min="11" max="12" width="8.7265625" style="43"/>
    <col min="13" max="13" width="12.26953125" style="43" bestFit="1" customWidth="1"/>
    <col min="14" max="14" width="11.6328125" style="43" bestFit="1" customWidth="1"/>
    <col min="15" max="15" width="18.36328125" style="43" bestFit="1" customWidth="1"/>
    <col min="16" max="16" width="13.08984375" style="43" bestFit="1" customWidth="1"/>
    <col min="17" max="17" width="11.08984375" style="43" bestFit="1" customWidth="1"/>
    <col min="18" max="18" width="15" style="43" bestFit="1" customWidth="1"/>
    <col min="19" max="19" width="13.26953125" style="43" bestFit="1" customWidth="1"/>
    <col min="20" max="20" width="12.453125" style="43" bestFit="1" customWidth="1"/>
    <col min="21" max="16384" width="8.7265625" style="2"/>
  </cols>
  <sheetData>
    <row r="1" spans="1:20" s="4" customFormat="1" ht="49" customHeight="1" x14ac:dyDescent="0.3">
      <c r="A1" s="91" t="s">
        <v>16</v>
      </c>
      <c r="B1" s="91" t="s">
        <v>50</v>
      </c>
      <c r="C1" s="91" t="s">
        <v>78</v>
      </c>
      <c r="D1" s="91" t="s">
        <v>93</v>
      </c>
      <c r="E1" s="91" t="s">
        <v>95</v>
      </c>
      <c r="F1" s="91" t="s">
        <v>44</v>
      </c>
      <c r="G1" s="91" t="s">
        <v>94</v>
      </c>
      <c r="H1" s="91" t="s">
        <v>51</v>
      </c>
      <c r="I1" s="91" t="s">
        <v>52</v>
      </c>
      <c r="J1" s="91" t="s">
        <v>69</v>
      </c>
      <c r="K1" s="91" t="s">
        <v>56</v>
      </c>
      <c r="L1" s="91" t="s">
        <v>68</v>
      </c>
      <c r="M1" s="207" t="s">
        <v>491</v>
      </c>
      <c r="N1" s="207" t="s">
        <v>495</v>
      </c>
      <c r="O1" s="207" t="s">
        <v>496</v>
      </c>
      <c r="P1" s="207" t="s">
        <v>497</v>
      </c>
      <c r="Q1" s="207" t="s">
        <v>498</v>
      </c>
      <c r="R1" s="208" t="s">
        <v>499</v>
      </c>
      <c r="S1" s="208" t="s">
        <v>500</v>
      </c>
      <c r="T1" s="208" t="s">
        <v>488</v>
      </c>
    </row>
    <row r="2" spans="1:20" x14ac:dyDescent="0.3">
      <c r="A2" s="92">
        <v>45856</v>
      </c>
      <c r="B2" s="8" t="s">
        <v>180</v>
      </c>
      <c r="C2" s="43">
        <v>1</v>
      </c>
      <c r="D2" s="93" t="s">
        <v>411</v>
      </c>
      <c r="E2" s="43" t="s">
        <v>79</v>
      </c>
      <c r="F2" s="43" t="s">
        <v>170</v>
      </c>
      <c r="G2" s="43">
        <v>-1</v>
      </c>
      <c r="H2" s="43">
        <v>18393.14</v>
      </c>
      <c r="I2" s="43">
        <v>113.00000978625727</v>
      </c>
      <c r="J2" s="43">
        <v>2078425</v>
      </c>
      <c r="K2" s="43">
        <v>-18393.14</v>
      </c>
      <c r="L2" s="43">
        <v>0</v>
      </c>
    </row>
    <row r="3" spans="1:20" x14ac:dyDescent="0.3">
      <c r="A3" s="92">
        <v>45856</v>
      </c>
      <c r="B3" s="8" t="s">
        <v>180</v>
      </c>
      <c r="C3" s="43">
        <v>1</v>
      </c>
      <c r="D3" s="93" t="s">
        <v>411</v>
      </c>
      <c r="E3" s="43" t="s">
        <v>80</v>
      </c>
      <c r="G3" s="43">
        <v>-1</v>
      </c>
      <c r="H3" s="43">
        <v>0</v>
      </c>
      <c r="I3" s="43">
        <v>0</v>
      </c>
      <c r="J3" s="43">
        <v>0</v>
      </c>
      <c r="K3" s="43">
        <v>0</v>
      </c>
      <c r="L3" s="43">
        <v>0</v>
      </c>
    </row>
    <row r="4" spans="1:20" x14ac:dyDescent="0.3">
      <c r="A4" s="92">
        <v>45856</v>
      </c>
      <c r="B4" s="8" t="s">
        <v>180</v>
      </c>
      <c r="C4" s="43">
        <v>1</v>
      </c>
      <c r="D4" s="93" t="s">
        <v>411</v>
      </c>
      <c r="E4" s="43" t="s">
        <v>81</v>
      </c>
      <c r="G4" s="43">
        <v>-1</v>
      </c>
      <c r="H4" s="43">
        <v>0</v>
      </c>
      <c r="I4" s="43">
        <v>0</v>
      </c>
      <c r="J4" s="43">
        <v>0</v>
      </c>
      <c r="K4" s="43">
        <v>0</v>
      </c>
      <c r="L4" s="43">
        <v>0</v>
      </c>
    </row>
    <row r="5" spans="1:20" x14ac:dyDescent="0.3">
      <c r="A5" s="92">
        <v>45856</v>
      </c>
      <c r="B5" s="8" t="s">
        <v>180</v>
      </c>
      <c r="C5" s="43">
        <v>1</v>
      </c>
      <c r="D5" s="93" t="s">
        <v>411</v>
      </c>
      <c r="E5" s="43" t="s">
        <v>82</v>
      </c>
      <c r="G5" s="43">
        <v>-1</v>
      </c>
      <c r="H5" s="43">
        <v>0</v>
      </c>
      <c r="I5" s="43">
        <v>0</v>
      </c>
      <c r="J5" s="43">
        <v>0</v>
      </c>
      <c r="K5" s="43">
        <v>0</v>
      </c>
      <c r="L5" s="43">
        <v>0</v>
      </c>
    </row>
    <row r="6" spans="1:20" x14ac:dyDescent="0.3">
      <c r="A6" s="92">
        <v>45856</v>
      </c>
      <c r="B6" s="8" t="s">
        <v>180</v>
      </c>
      <c r="C6" s="43">
        <v>1</v>
      </c>
      <c r="D6" s="93" t="s">
        <v>411</v>
      </c>
      <c r="E6" s="43" t="s">
        <v>83</v>
      </c>
      <c r="G6" s="43">
        <v>-1</v>
      </c>
      <c r="H6" s="43">
        <v>0</v>
      </c>
      <c r="I6" s="43">
        <v>0</v>
      </c>
      <c r="J6" s="43">
        <v>0</v>
      </c>
      <c r="K6" s="43">
        <v>0</v>
      </c>
      <c r="L6" s="43">
        <v>0</v>
      </c>
    </row>
    <row r="7" spans="1:20" x14ac:dyDescent="0.3">
      <c r="A7" s="203">
        <v>45856</v>
      </c>
      <c r="B7" s="204" t="s">
        <v>180</v>
      </c>
      <c r="C7" s="205">
        <v>1</v>
      </c>
      <c r="D7" s="206" t="s">
        <v>412</v>
      </c>
      <c r="E7" s="205" t="s">
        <v>84</v>
      </c>
      <c r="F7" s="205" t="s">
        <v>409</v>
      </c>
      <c r="G7" s="205">
        <v>1</v>
      </c>
      <c r="H7" s="205">
        <v>7357.2560000000003</v>
      </c>
      <c r="I7" s="205">
        <v>207.50002446564321</v>
      </c>
      <c r="J7" s="205">
        <v>1526630.8000000003</v>
      </c>
      <c r="K7" s="205">
        <v>7357.2560000000003</v>
      </c>
      <c r="L7" s="205">
        <v>300.88</v>
      </c>
      <c r="M7" s="209">
        <v>11.48841070501865</v>
      </c>
      <c r="N7" s="210">
        <v>84523.178589962699</v>
      </c>
      <c r="O7" s="210">
        <v>1611153.9785899627</v>
      </c>
      <c r="P7" s="210">
        <v>218.9884351706618</v>
      </c>
      <c r="Q7" s="205" t="s">
        <v>490</v>
      </c>
      <c r="R7" s="211">
        <v>132430.60800000001</v>
      </c>
      <c r="S7" s="211">
        <v>84523.178589962321</v>
      </c>
      <c r="T7" s="212">
        <v>-47907.429410037686</v>
      </c>
    </row>
    <row r="8" spans="1:20" x14ac:dyDescent="0.3">
      <c r="A8" s="92">
        <v>45856</v>
      </c>
      <c r="B8" s="8" t="s">
        <v>180</v>
      </c>
      <c r="C8" s="43">
        <v>1</v>
      </c>
      <c r="D8" s="93" t="s">
        <v>412</v>
      </c>
      <c r="E8" s="43" t="s">
        <v>85</v>
      </c>
      <c r="G8" s="43">
        <v>1</v>
      </c>
      <c r="H8" s="43">
        <v>0</v>
      </c>
      <c r="I8" s="43">
        <v>0</v>
      </c>
      <c r="J8" s="43">
        <v>0</v>
      </c>
      <c r="K8" s="43">
        <v>0</v>
      </c>
      <c r="L8" s="43">
        <v>0</v>
      </c>
      <c r="R8" s="211">
        <v>0</v>
      </c>
      <c r="S8" s="211">
        <v>0</v>
      </c>
      <c r="T8" s="211">
        <v>0</v>
      </c>
    </row>
    <row r="9" spans="1:20" x14ac:dyDescent="0.3">
      <c r="A9" s="92">
        <v>45856</v>
      </c>
      <c r="B9" s="8" t="s">
        <v>180</v>
      </c>
      <c r="C9" s="43">
        <v>1</v>
      </c>
      <c r="D9" s="93" t="s">
        <v>412</v>
      </c>
      <c r="E9" s="43" t="s">
        <v>86</v>
      </c>
      <c r="G9" s="43">
        <v>1</v>
      </c>
      <c r="H9" s="43">
        <v>0</v>
      </c>
      <c r="I9" s="43">
        <v>0</v>
      </c>
      <c r="J9" s="43">
        <v>0</v>
      </c>
      <c r="K9" s="43">
        <v>0</v>
      </c>
      <c r="L9" s="43">
        <v>0</v>
      </c>
      <c r="R9" s="211">
        <v>0</v>
      </c>
      <c r="S9" s="211">
        <v>0</v>
      </c>
      <c r="T9" s="211">
        <v>0</v>
      </c>
    </row>
    <row r="10" spans="1:20" x14ac:dyDescent="0.3">
      <c r="A10" s="92">
        <v>45856</v>
      </c>
      <c r="B10" s="8" t="s">
        <v>180</v>
      </c>
      <c r="C10" s="43">
        <v>1</v>
      </c>
      <c r="D10" s="93" t="s">
        <v>413</v>
      </c>
      <c r="E10" s="43" t="s">
        <v>87</v>
      </c>
      <c r="F10" s="43" t="s">
        <v>410</v>
      </c>
      <c r="G10" s="43">
        <v>1</v>
      </c>
      <c r="H10" s="43">
        <v>11035.884</v>
      </c>
      <c r="I10" s="43">
        <v>50</v>
      </c>
      <c r="J10" s="43">
        <v>551794.19999999995</v>
      </c>
      <c r="K10" s="43">
        <v>11035.884</v>
      </c>
      <c r="L10" s="43">
        <v>50</v>
      </c>
    </row>
    <row r="11" spans="1:20" x14ac:dyDescent="0.3">
      <c r="A11" s="92">
        <v>45856</v>
      </c>
      <c r="B11" s="8" t="s">
        <v>180</v>
      </c>
      <c r="C11" s="43">
        <v>1</v>
      </c>
      <c r="D11" s="93" t="s">
        <v>413</v>
      </c>
      <c r="E11" s="43" t="s">
        <v>88</v>
      </c>
      <c r="G11" s="43">
        <v>1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</row>
    <row r="12" spans="1:20" x14ac:dyDescent="0.3">
      <c r="A12" s="92">
        <v>45870</v>
      </c>
      <c r="B12" s="8" t="s">
        <v>180</v>
      </c>
      <c r="C12" s="43">
        <v>2</v>
      </c>
      <c r="D12" s="93" t="s">
        <v>411</v>
      </c>
      <c r="E12" s="43" t="s">
        <v>79</v>
      </c>
      <c r="F12" s="43" t="s">
        <v>178</v>
      </c>
      <c r="G12" s="43">
        <v>-1</v>
      </c>
      <c r="H12" s="43">
        <v>5000</v>
      </c>
      <c r="I12" s="43">
        <v>115.9</v>
      </c>
      <c r="J12" s="43">
        <v>579500</v>
      </c>
      <c r="K12" s="43">
        <v>-5000</v>
      </c>
      <c r="L12" s="43">
        <v>0</v>
      </c>
    </row>
    <row r="13" spans="1:20" x14ac:dyDescent="0.3">
      <c r="A13" s="92">
        <v>45870</v>
      </c>
      <c r="B13" s="8" t="s">
        <v>180</v>
      </c>
      <c r="C13" s="43">
        <v>2</v>
      </c>
      <c r="D13" s="93" t="s">
        <v>411</v>
      </c>
      <c r="E13" s="43" t="s">
        <v>80</v>
      </c>
      <c r="G13" s="43">
        <v>-1</v>
      </c>
      <c r="H13" s="43">
        <v>0</v>
      </c>
      <c r="I13" s="43">
        <v>0</v>
      </c>
      <c r="J13" s="43">
        <v>0</v>
      </c>
      <c r="K13" s="43">
        <v>0</v>
      </c>
      <c r="L13" s="43">
        <v>0</v>
      </c>
    </row>
    <row r="14" spans="1:20" x14ac:dyDescent="0.3">
      <c r="A14" s="92">
        <v>45870</v>
      </c>
      <c r="B14" s="8" t="s">
        <v>180</v>
      </c>
      <c r="C14" s="43">
        <v>2</v>
      </c>
      <c r="D14" s="93" t="s">
        <v>411</v>
      </c>
      <c r="E14" s="43" t="s">
        <v>81</v>
      </c>
      <c r="G14" s="43">
        <v>-1</v>
      </c>
      <c r="H14" s="43">
        <v>0</v>
      </c>
      <c r="I14" s="43">
        <v>0</v>
      </c>
      <c r="J14" s="43">
        <v>0</v>
      </c>
      <c r="K14" s="43">
        <v>0</v>
      </c>
      <c r="L14" s="43">
        <v>0</v>
      </c>
    </row>
    <row r="15" spans="1:20" x14ac:dyDescent="0.3">
      <c r="A15" s="92">
        <v>45870</v>
      </c>
      <c r="B15" s="8" t="s">
        <v>180</v>
      </c>
      <c r="C15" s="43">
        <v>2</v>
      </c>
      <c r="D15" s="93" t="s">
        <v>411</v>
      </c>
      <c r="E15" s="43" t="s">
        <v>82</v>
      </c>
      <c r="G15" s="43">
        <v>-1</v>
      </c>
      <c r="H15" s="43">
        <v>0</v>
      </c>
      <c r="I15" s="43">
        <v>0</v>
      </c>
      <c r="J15" s="43">
        <v>0</v>
      </c>
      <c r="K15" s="43">
        <v>0</v>
      </c>
      <c r="L15" s="43">
        <v>0</v>
      </c>
    </row>
    <row r="16" spans="1:20" x14ac:dyDescent="0.3">
      <c r="A16" s="92">
        <v>45870</v>
      </c>
      <c r="B16" s="8" t="s">
        <v>180</v>
      </c>
      <c r="C16" s="43">
        <v>2</v>
      </c>
      <c r="D16" s="93" t="s">
        <v>411</v>
      </c>
      <c r="E16" s="43" t="s">
        <v>83</v>
      </c>
      <c r="G16" s="43">
        <v>-1</v>
      </c>
      <c r="H16" s="43">
        <v>0</v>
      </c>
      <c r="I16" s="43">
        <v>0</v>
      </c>
      <c r="J16" s="43">
        <v>0</v>
      </c>
      <c r="K16" s="43">
        <v>0</v>
      </c>
      <c r="L16" s="43">
        <v>0</v>
      </c>
    </row>
    <row r="17" spans="1:20" x14ac:dyDescent="0.3">
      <c r="A17" s="203">
        <v>45870</v>
      </c>
      <c r="B17" s="204" t="s">
        <v>180</v>
      </c>
      <c r="C17" s="205">
        <v>2</v>
      </c>
      <c r="D17" s="206" t="s">
        <v>412</v>
      </c>
      <c r="E17" s="205" t="s">
        <v>84</v>
      </c>
      <c r="F17" s="205" t="s">
        <v>409</v>
      </c>
      <c r="G17" s="205">
        <v>1</v>
      </c>
      <c r="H17" s="205">
        <v>2000</v>
      </c>
      <c r="I17" s="205">
        <v>214.75</v>
      </c>
      <c r="J17" s="205">
        <v>429500</v>
      </c>
      <c r="K17" s="205">
        <v>2000</v>
      </c>
      <c r="L17" s="205">
        <v>320</v>
      </c>
      <c r="M17" s="209">
        <v>11.48841070501865</v>
      </c>
      <c r="N17" s="210">
        <v>22976.821410037301</v>
      </c>
      <c r="O17" s="210">
        <v>452476.82141003729</v>
      </c>
      <c r="P17" s="210">
        <v>226.23841070501865</v>
      </c>
      <c r="Q17" s="205" t="s">
        <v>490</v>
      </c>
      <c r="R17" s="211">
        <v>36000</v>
      </c>
      <c r="S17" s="211">
        <v>22976.821410037199</v>
      </c>
      <c r="T17" s="212">
        <v>-13023.178589962801</v>
      </c>
    </row>
    <row r="18" spans="1:20" x14ac:dyDescent="0.3">
      <c r="A18" s="92">
        <v>45870</v>
      </c>
      <c r="B18" s="8" t="s">
        <v>180</v>
      </c>
      <c r="C18" s="43">
        <v>2</v>
      </c>
      <c r="D18" s="93" t="s">
        <v>412</v>
      </c>
      <c r="E18" s="43" t="s">
        <v>85</v>
      </c>
      <c r="G18" s="43">
        <v>1</v>
      </c>
      <c r="H18" s="43">
        <v>0</v>
      </c>
      <c r="I18" s="43">
        <v>0</v>
      </c>
      <c r="J18" s="43">
        <v>0</v>
      </c>
      <c r="K18" s="43">
        <v>0</v>
      </c>
      <c r="L18" s="43">
        <v>0</v>
      </c>
      <c r="R18" s="211">
        <v>0</v>
      </c>
      <c r="S18" s="211">
        <v>0</v>
      </c>
      <c r="T18" s="211">
        <v>0</v>
      </c>
    </row>
    <row r="19" spans="1:20" x14ac:dyDescent="0.3">
      <c r="A19" s="92">
        <v>45870</v>
      </c>
      <c r="B19" s="8" t="s">
        <v>180</v>
      </c>
      <c r="C19" s="43">
        <v>2</v>
      </c>
      <c r="D19" s="93" t="s">
        <v>412</v>
      </c>
      <c r="E19" s="43" t="s">
        <v>86</v>
      </c>
      <c r="G19" s="43">
        <v>1</v>
      </c>
      <c r="H19" s="43">
        <v>0</v>
      </c>
      <c r="I19" s="43">
        <v>0</v>
      </c>
      <c r="J19" s="43">
        <v>0</v>
      </c>
      <c r="K19" s="43">
        <v>0</v>
      </c>
      <c r="L19" s="43">
        <v>0</v>
      </c>
      <c r="R19" s="211">
        <v>0</v>
      </c>
      <c r="S19" s="211">
        <v>0</v>
      </c>
      <c r="T19" s="211">
        <v>0</v>
      </c>
    </row>
    <row r="20" spans="1:20" x14ac:dyDescent="0.3">
      <c r="A20" s="92">
        <v>45870</v>
      </c>
      <c r="B20" s="8" t="s">
        <v>180</v>
      </c>
      <c r="C20" s="43">
        <v>2</v>
      </c>
      <c r="D20" s="93" t="s">
        <v>413</v>
      </c>
      <c r="E20" s="43" t="s">
        <v>87</v>
      </c>
      <c r="F20" s="43" t="s">
        <v>410</v>
      </c>
      <c r="G20" s="43">
        <v>1</v>
      </c>
      <c r="H20" s="43">
        <v>3000</v>
      </c>
      <c r="I20" s="43">
        <v>50</v>
      </c>
      <c r="J20" s="43">
        <v>150000</v>
      </c>
      <c r="K20" s="43">
        <v>3000</v>
      </c>
      <c r="L20" s="43">
        <v>50</v>
      </c>
    </row>
    <row r="21" spans="1:20" x14ac:dyDescent="0.3">
      <c r="A21" s="92">
        <v>45870</v>
      </c>
      <c r="B21" s="8" t="s">
        <v>180</v>
      </c>
      <c r="C21" s="43">
        <v>2</v>
      </c>
      <c r="D21" s="93" t="s">
        <v>413</v>
      </c>
      <c r="E21" s="43" t="s">
        <v>88</v>
      </c>
      <c r="G21" s="43">
        <v>1</v>
      </c>
      <c r="H21" s="43">
        <v>0</v>
      </c>
      <c r="I21" s="43">
        <v>0</v>
      </c>
      <c r="J21" s="43">
        <v>0</v>
      </c>
      <c r="K21" s="43">
        <v>0</v>
      </c>
      <c r="L21" s="43">
        <v>0</v>
      </c>
    </row>
    <row r="22" spans="1:20" x14ac:dyDescent="0.3">
      <c r="A22" s="92">
        <v>45887</v>
      </c>
      <c r="B22" s="8" t="s">
        <v>185</v>
      </c>
      <c r="C22" s="43">
        <v>3</v>
      </c>
      <c r="D22" s="93" t="s">
        <v>411</v>
      </c>
      <c r="E22" s="43" t="s">
        <v>79</v>
      </c>
      <c r="F22" s="43" t="s">
        <v>178</v>
      </c>
      <c r="G22" s="43">
        <v>-1</v>
      </c>
      <c r="H22" s="43">
        <v>3000</v>
      </c>
      <c r="I22" s="43">
        <v>110.45</v>
      </c>
      <c r="J22" s="43">
        <v>331350</v>
      </c>
      <c r="K22" s="43">
        <v>-3000</v>
      </c>
      <c r="L22" s="43">
        <v>0</v>
      </c>
    </row>
    <row r="23" spans="1:20" x14ac:dyDescent="0.3">
      <c r="A23" s="92">
        <v>45887</v>
      </c>
      <c r="B23" s="8" t="s">
        <v>185</v>
      </c>
      <c r="C23" s="43">
        <v>3</v>
      </c>
      <c r="D23" s="93" t="s">
        <v>411</v>
      </c>
      <c r="E23" s="43" t="s">
        <v>80</v>
      </c>
      <c r="G23" s="43">
        <v>-1</v>
      </c>
      <c r="H23" s="43">
        <v>0</v>
      </c>
      <c r="I23" s="43">
        <v>0</v>
      </c>
      <c r="J23" s="43">
        <v>0</v>
      </c>
      <c r="K23" s="43">
        <v>0</v>
      </c>
      <c r="L23" s="43">
        <v>0</v>
      </c>
    </row>
    <row r="24" spans="1:20" x14ac:dyDescent="0.3">
      <c r="A24" s="92">
        <v>45887</v>
      </c>
      <c r="B24" s="8" t="s">
        <v>185</v>
      </c>
      <c r="C24" s="43">
        <v>3</v>
      </c>
      <c r="D24" s="93" t="s">
        <v>411</v>
      </c>
      <c r="E24" s="43" t="s">
        <v>81</v>
      </c>
      <c r="G24" s="43">
        <v>-1</v>
      </c>
      <c r="H24" s="43">
        <v>0</v>
      </c>
      <c r="I24" s="43">
        <v>0</v>
      </c>
      <c r="J24" s="43">
        <v>0</v>
      </c>
      <c r="K24" s="43">
        <v>0</v>
      </c>
      <c r="L24" s="43">
        <v>0</v>
      </c>
    </row>
    <row r="25" spans="1:20" x14ac:dyDescent="0.3">
      <c r="A25" s="92">
        <v>45887</v>
      </c>
      <c r="B25" s="8" t="s">
        <v>185</v>
      </c>
      <c r="C25" s="43">
        <v>3</v>
      </c>
      <c r="D25" s="93" t="s">
        <v>411</v>
      </c>
      <c r="E25" s="43" t="s">
        <v>82</v>
      </c>
      <c r="G25" s="43">
        <v>-1</v>
      </c>
      <c r="H25" s="43">
        <v>0</v>
      </c>
      <c r="I25" s="43">
        <v>0</v>
      </c>
      <c r="J25" s="43">
        <v>0</v>
      </c>
      <c r="K25" s="43">
        <v>0</v>
      </c>
      <c r="L25" s="43">
        <v>0</v>
      </c>
    </row>
    <row r="26" spans="1:20" x14ac:dyDescent="0.3">
      <c r="A26" s="92">
        <v>45887</v>
      </c>
      <c r="B26" s="8" t="s">
        <v>185</v>
      </c>
      <c r="C26" s="43">
        <v>3</v>
      </c>
      <c r="D26" s="93" t="s">
        <v>411</v>
      </c>
      <c r="E26" s="43" t="s">
        <v>83</v>
      </c>
      <c r="G26" s="43">
        <v>-1</v>
      </c>
      <c r="H26" s="43">
        <v>0</v>
      </c>
      <c r="I26" s="43">
        <v>0</v>
      </c>
      <c r="J26" s="43">
        <v>0</v>
      </c>
      <c r="K26" s="43">
        <v>0</v>
      </c>
      <c r="L26" s="43">
        <v>0</v>
      </c>
    </row>
    <row r="27" spans="1:20" x14ac:dyDescent="0.3">
      <c r="A27" s="92">
        <v>45887</v>
      </c>
      <c r="B27" s="8" t="s">
        <v>185</v>
      </c>
      <c r="C27" s="43">
        <v>3</v>
      </c>
      <c r="D27" s="93" t="s">
        <v>412</v>
      </c>
      <c r="E27" s="43" t="s">
        <v>84</v>
      </c>
      <c r="F27" s="43" t="s">
        <v>409</v>
      </c>
      <c r="G27" s="43">
        <v>1</v>
      </c>
      <c r="H27" s="43">
        <v>1200</v>
      </c>
      <c r="I27" s="43">
        <v>201.125</v>
      </c>
      <c r="J27" s="43">
        <v>241350</v>
      </c>
      <c r="K27" s="43">
        <v>1200</v>
      </c>
      <c r="L27" s="43">
        <v>320</v>
      </c>
    </row>
    <row r="28" spans="1:20" x14ac:dyDescent="0.3">
      <c r="A28" s="92">
        <v>45887</v>
      </c>
      <c r="B28" s="8" t="s">
        <v>185</v>
      </c>
      <c r="C28" s="43">
        <v>3</v>
      </c>
      <c r="D28" s="93" t="s">
        <v>412</v>
      </c>
      <c r="E28" s="43" t="s">
        <v>85</v>
      </c>
      <c r="G28" s="43">
        <v>1</v>
      </c>
      <c r="H28" s="43">
        <v>0</v>
      </c>
      <c r="I28" s="43">
        <v>0</v>
      </c>
      <c r="J28" s="43">
        <v>0</v>
      </c>
      <c r="K28" s="43">
        <v>0</v>
      </c>
      <c r="L28" s="43">
        <v>0</v>
      </c>
    </row>
    <row r="29" spans="1:20" x14ac:dyDescent="0.3">
      <c r="A29" s="92">
        <v>45887</v>
      </c>
      <c r="B29" s="8" t="s">
        <v>185</v>
      </c>
      <c r="C29" s="43">
        <v>3</v>
      </c>
      <c r="D29" s="93" t="s">
        <v>412</v>
      </c>
      <c r="E29" s="43" t="s">
        <v>86</v>
      </c>
      <c r="G29" s="43">
        <v>1</v>
      </c>
      <c r="H29" s="43">
        <v>0</v>
      </c>
      <c r="I29" s="43">
        <v>0</v>
      </c>
      <c r="J29" s="43">
        <v>0</v>
      </c>
      <c r="K29" s="43">
        <v>0</v>
      </c>
      <c r="L29" s="43">
        <v>0</v>
      </c>
    </row>
    <row r="30" spans="1:20" x14ac:dyDescent="0.3">
      <c r="A30" s="92">
        <v>45887</v>
      </c>
      <c r="B30" s="8" t="s">
        <v>185</v>
      </c>
      <c r="C30" s="43">
        <v>3</v>
      </c>
      <c r="D30" s="93" t="s">
        <v>413</v>
      </c>
      <c r="E30" s="43" t="s">
        <v>87</v>
      </c>
      <c r="F30" s="43" t="s">
        <v>410</v>
      </c>
      <c r="G30" s="43">
        <v>1</v>
      </c>
      <c r="H30" s="43">
        <v>1800</v>
      </c>
      <c r="I30" s="43">
        <v>50</v>
      </c>
      <c r="J30" s="43">
        <v>90000</v>
      </c>
      <c r="K30" s="43">
        <v>1800</v>
      </c>
      <c r="L30" s="43">
        <v>50</v>
      </c>
    </row>
    <row r="31" spans="1:20" x14ac:dyDescent="0.3">
      <c r="A31" s="92">
        <v>45887</v>
      </c>
      <c r="B31" s="8" t="s">
        <v>185</v>
      </c>
      <c r="C31" s="43">
        <v>3</v>
      </c>
      <c r="D31" s="93" t="s">
        <v>413</v>
      </c>
      <c r="E31" s="43" t="s">
        <v>88</v>
      </c>
      <c r="G31" s="43">
        <v>1</v>
      </c>
      <c r="H31" s="43">
        <v>0</v>
      </c>
      <c r="I31" s="43">
        <v>0</v>
      </c>
      <c r="J31" s="43">
        <v>0</v>
      </c>
      <c r="K31" s="43">
        <v>0</v>
      </c>
      <c r="L31" s="43">
        <v>0</v>
      </c>
    </row>
    <row r="32" spans="1:20" x14ac:dyDescent="0.3">
      <c r="A32" s="92">
        <v>45901</v>
      </c>
      <c r="B32" s="8" t="s">
        <v>185</v>
      </c>
      <c r="C32" s="43">
        <v>4</v>
      </c>
      <c r="D32" s="93" t="s">
        <v>411</v>
      </c>
      <c r="E32" s="43" t="s">
        <v>79</v>
      </c>
      <c r="F32" s="43" t="s">
        <v>178</v>
      </c>
      <c r="G32" s="43">
        <v>-1</v>
      </c>
      <c r="H32" s="43">
        <v>4000</v>
      </c>
      <c r="I32" s="43">
        <v>110.45</v>
      </c>
      <c r="J32" s="43">
        <v>441800</v>
      </c>
      <c r="K32" s="43">
        <v>-4000</v>
      </c>
      <c r="L32" s="43">
        <v>0</v>
      </c>
    </row>
    <row r="33" spans="1:12" x14ac:dyDescent="0.3">
      <c r="A33" s="92">
        <v>45901</v>
      </c>
      <c r="B33" s="8" t="s">
        <v>185</v>
      </c>
      <c r="C33" s="43">
        <v>4</v>
      </c>
      <c r="D33" s="93" t="s">
        <v>411</v>
      </c>
      <c r="E33" s="43" t="s">
        <v>80</v>
      </c>
      <c r="G33" s="43">
        <v>-1</v>
      </c>
      <c r="H33" s="43">
        <v>0</v>
      </c>
      <c r="I33" s="43">
        <v>0</v>
      </c>
      <c r="J33" s="43">
        <v>0</v>
      </c>
      <c r="K33" s="43">
        <v>0</v>
      </c>
      <c r="L33" s="43">
        <v>0</v>
      </c>
    </row>
    <row r="34" spans="1:12" x14ac:dyDescent="0.3">
      <c r="A34" s="92">
        <v>45901</v>
      </c>
      <c r="B34" s="8" t="s">
        <v>185</v>
      </c>
      <c r="C34" s="43">
        <v>4</v>
      </c>
      <c r="D34" s="93" t="s">
        <v>411</v>
      </c>
      <c r="E34" s="43" t="s">
        <v>81</v>
      </c>
      <c r="G34" s="43">
        <v>-1</v>
      </c>
      <c r="H34" s="43">
        <v>0</v>
      </c>
      <c r="I34" s="43">
        <v>0</v>
      </c>
      <c r="J34" s="43">
        <v>0</v>
      </c>
      <c r="K34" s="43">
        <v>0</v>
      </c>
      <c r="L34" s="43">
        <v>0</v>
      </c>
    </row>
    <row r="35" spans="1:12" x14ac:dyDescent="0.3">
      <c r="A35" s="92">
        <v>45901</v>
      </c>
      <c r="B35" s="8" t="s">
        <v>185</v>
      </c>
      <c r="C35" s="43">
        <v>4</v>
      </c>
      <c r="D35" s="93" t="s">
        <v>411</v>
      </c>
      <c r="E35" s="43" t="s">
        <v>82</v>
      </c>
      <c r="G35" s="43">
        <v>-1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</row>
    <row r="36" spans="1:12" x14ac:dyDescent="0.3">
      <c r="A36" s="92">
        <v>45901</v>
      </c>
      <c r="B36" s="8" t="s">
        <v>185</v>
      </c>
      <c r="C36" s="43">
        <v>4</v>
      </c>
      <c r="D36" s="93" t="s">
        <v>411</v>
      </c>
      <c r="E36" s="43" t="s">
        <v>83</v>
      </c>
      <c r="G36" s="43">
        <v>-1</v>
      </c>
      <c r="H36" s="43">
        <v>0</v>
      </c>
      <c r="I36" s="43">
        <v>0</v>
      </c>
      <c r="J36" s="43">
        <v>0</v>
      </c>
      <c r="K36" s="43">
        <v>0</v>
      </c>
      <c r="L36" s="43">
        <v>0</v>
      </c>
    </row>
    <row r="37" spans="1:12" x14ac:dyDescent="0.3">
      <c r="A37" s="92">
        <v>45901</v>
      </c>
      <c r="B37" s="8" t="s">
        <v>185</v>
      </c>
      <c r="C37" s="43">
        <v>4</v>
      </c>
      <c r="D37" s="93" t="s">
        <v>412</v>
      </c>
      <c r="E37" s="43" t="s">
        <v>84</v>
      </c>
      <c r="F37" s="43" t="s">
        <v>409</v>
      </c>
      <c r="G37" s="43">
        <v>1</v>
      </c>
      <c r="H37" s="43">
        <v>1600</v>
      </c>
      <c r="I37" s="43">
        <v>201.125</v>
      </c>
      <c r="J37" s="43">
        <v>321800</v>
      </c>
      <c r="K37" s="43">
        <v>1600</v>
      </c>
      <c r="L37" s="43">
        <v>320</v>
      </c>
    </row>
    <row r="38" spans="1:12" x14ac:dyDescent="0.3">
      <c r="A38" s="92">
        <v>45901</v>
      </c>
      <c r="B38" s="8" t="s">
        <v>185</v>
      </c>
      <c r="C38" s="43">
        <v>4</v>
      </c>
      <c r="D38" s="93" t="s">
        <v>412</v>
      </c>
      <c r="E38" s="43" t="s">
        <v>85</v>
      </c>
      <c r="G38" s="43">
        <v>1</v>
      </c>
      <c r="H38" s="43">
        <v>0</v>
      </c>
      <c r="I38" s="43">
        <v>0</v>
      </c>
      <c r="J38" s="43">
        <v>0</v>
      </c>
      <c r="K38" s="43">
        <v>0</v>
      </c>
      <c r="L38" s="43">
        <v>0</v>
      </c>
    </row>
    <row r="39" spans="1:12" x14ac:dyDescent="0.3">
      <c r="A39" s="92">
        <v>45901</v>
      </c>
      <c r="B39" s="8" t="s">
        <v>185</v>
      </c>
      <c r="C39" s="43">
        <v>4</v>
      </c>
      <c r="D39" s="93" t="s">
        <v>412</v>
      </c>
      <c r="E39" s="43" t="s">
        <v>86</v>
      </c>
      <c r="G39" s="43">
        <v>1</v>
      </c>
      <c r="H39" s="43">
        <v>0</v>
      </c>
      <c r="I39" s="43">
        <v>0</v>
      </c>
      <c r="J39" s="43">
        <v>0</v>
      </c>
      <c r="K39" s="43">
        <v>0</v>
      </c>
      <c r="L39" s="43">
        <v>0</v>
      </c>
    </row>
    <row r="40" spans="1:12" x14ac:dyDescent="0.3">
      <c r="A40" s="92">
        <v>45901</v>
      </c>
      <c r="B40" s="8" t="s">
        <v>185</v>
      </c>
      <c r="C40" s="43">
        <v>4</v>
      </c>
      <c r="D40" s="93" t="s">
        <v>413</v>
      </c>
      <c r="E40" s="43" t="s">
        <v>87</v>
      </c>
      <c r="F40" s="43" t="s">
        <v>410</v>
      </c>
      <c r="G40" s="43">
        <v>1</v>
      </c>
      <c r="H40" s="43">
        <v>2400</v>
      </c>
      <c r="I40" s="43">
        <v>50</v>
      </c>
      <c r="J40" s="43">
        <v>120000</v>
      </c>
      <c r="K40" s="43">
        <v>2400</v>
      </c>
      <c r="L40" s="43">
        <v>50</v>
      </c>
    </row>
    <row r="41" spans="1:12" x14ac:dyDescent="0.3">
      <c r="A41" s="92">
        <v>45901</v>
      </c>
      <c r="B41" s="8" t="s">
        <v>185</v>
      </c>
      <c r="C41" s="43">
        <v>4</v>
      </c>
      <c r="D41" s="93" t="s">
        <v>413</v>
      </c>
      <c r="E41" s="43" t="s">
        <v>88</v>
      </c>
      <c r="G41" s="43">
        <v>1</v>
      </c>
      <c r="H41" s="43">
        <v>0</v>
      </c>
      <c r="I41" s="43">
        <v>0</v>
      </c>
      <c r="J41" s="43">
        <v>0</v>
      </c>
      <c r="K41" s="43">
        <v>0</v>
      </c>
      <c r="L41" s="43">
        <v>0</v>
      </c>
    </row>
    <row r="42" spans="1:12" x14ac:dyDescent="0.3">
      <c r="A42" s="92">
        <v>45918</v>
      </c>
      <c r="B42" s="8" t="s">
        <v>183</v>
      </c>
      <c r="C42" s="43">
        <v>5</v>
      </c>
      <c r="D42" s="93" t="s">
        <v>411</v>
      </c>
      <c r="E42" s="43" t="s">
        <v>79</v>
      </c>
      <c r="F42" s="43" t="s">
        <v>178</v>
      </c>
      <c r="G42" s="43">
        <v>-1</v>
      </c>
      <c r="H42" s="43">
        <v>4000</v>
      </c>
      <c r="I42" s="43">
        <v>112.25714285714285</v>
      </c>
      <c r="J42" s="43">
        <v>449028.57142857142</v>
      </c>
      <c r="K42" s="43">
        <v>-4000</v>
      </c>
      <c r="L42" s="43">
        <v>0</v>
      </c>
    </row>
    <row r="43" spans="1:12" x14ac:dyDescent="0.3">
      <c r="A43" s="92">
        <v>45918</v>
      </c>
      <c r="B43" s="8" t="s">
        <v>183</v>
      </c>
      <c r="C43" s="43">
        <v>5</v>
      </c>
      <c r="D43" s="93" t="s">
        <v>411</v>
      </c>
      <c r="E43" s="43" t="s">
        <v>80</v>
      </c>
      <c r="G43" s="43">
        <v>-1</v>
      </c>
      <c r="H43" s="43">
        <v>0</v>
      </c>
      <c r="I43" s="43">
        <v>0</v>
      </c>
      <c r="J43" s="43">
        <v>0</v>
      </c>
      <c r="K43" s="43">
        <v>0</v>
      </c>
      <c r="L43" s="43">
        <v>0</v>
      </c>
    </row>
    <row r="44" spans="1:12" x14ac:dyDescent="0.3">
      <c r="A44" s="92">
        <v>45918</v>
      </c>
      <c r="B44" s="8" t="s">
        <v>183</v>
      </c>
      <c r="C44" s="43">
        <v>5</v>
      </c>
      <c r="D44" s="93" t="s">
        <v>411</v>
      </c>
      <c r="E44" s="43" t="s">
        <v>81</v>
      </c>
      <c r="G44" s="43">
        <v>-1</v>
      </c>
      <c r="H44" s="43">
        <v>0</v>
      </c>
      <c r="I44" s="43">
        <v>0</v>
      </c>
      <c r="J44" s="43">
        <v>0</v>
      </c>
      <c r="K44" s="43">
        <v>0</v>
      </c>
      <c r="L44" s="43">
        <v>0</v>
      </c>
    </row>
    <row r="45" spans="1:12" x14ac:dyDescent="0.3">
      <c r="A45" s="92">
        <v>45918</v>
      </c>
      <c r="B45" s="8" t="s">
        <v>183</v>
      </c>
      <c r="C45" s="43">
        <v>5</v>
      </c>
      <c r="D45" s="93" t="s">
        <v>411</v>
      </c>
      <c r="E45" s="43" t="s">
        <v>82</v>
      </c>
      <c r="G45" s="43">
        <v>-1</v>
      </c>
      <c r="H45" s="43">
        <v>0</v>
      </c>
      <c r="I45" s="43">
        <v>0</v>
      </c>
      <c r="J45" s="43">
        <v>0</v>
      </c>
      <c r="K45" s="43">
        <v>0</v>
      </c>
      <c r="L45" s="43">
        <v>0</v>
      </c>
    </row>
    <row r="46" spans="1:12" x14ac:dyDescent="0.3">
      <c r="A46" s="92">
        <v>45918</v>
      </c>
      <c r="B46" s="8" t="s">
        <v>183</v>
      </c>
      <c r="C46" s="43">
        <v>5</v>
      </c>
      <c r="D46" s="93" t="s">
        <v>411</v>
      </c>
      <c r="E46" s="43" t="s">
        <v>83</v>
      </c>
      <c r="G46" s="43">
        <v>-1</v>
      </c>
      <c r="H46" s="43">
        <v>0</v>
      </c>
      <c r="I46" s="43">
        <v>0</v>
      </c>
      <c r="J46" s="43">
        <v>0</v>
      </c>
      <c r="K46" s="43">
        <v>0</v>
      </c>
      <c r="L46" s="43">
        <v>0</v>
      </c>
    </row>
    <row r="47" spans="1:12" x14ac:dyDescent="0.3">
      <c r="A47" s="92">
        <v>45918</v>
      </c>
      <c r="B47" s="8" t="s">
        <v>183</v>
      </c>
      <c r="C47" s="43">
        <v>5</v>
      </c>
      <c r="D47" s="93" t="s">
        <v>412</v>
      </c>
      <c r="E47" s="43" t="s">
        <v>84</v>
      </c>
      <c r="F47" s="43" t="s">
        <v>409</v>
      </c>
      <c r="G47" s="43">
        <v>1</v>
      </c>
      <c r="H47" s="43">
        <v>1600</v>
      </c>
      <c r="I47" s="43">
        <v>205.64285714285714</v>
      </c>
      <c r="J47" s="43">
        <v>329028.57142857142</v>
      </c>
      <c r="K47" s="43">
        <v>1600</v>
      </c>
      <c r="L47" s="43">
        <v>320</v>
      </c>
    </row>
    <row r="48" spans="1:12" x14ac:dyDescent="0.3">
      <c r="A48" s="92">
        <v>45918</v>
      </c>
      <c r="B48" s="8" t="s">
        <v>183</v>
      </c>
      <c r="C48" s="43">
        <v>5</v>
      </c>
      <c r="D48" s="93" t="s">
        <v>412</v>
      </c>
      <c r="E48" s="43" t="s">
        <v>85</v>
      </c>
      <c r="G48" s="43">
        <v>1</v>
      </c>
      <c r="H48" s="43">
        <v>0</v>
      </c>
      <c r="I48" s="43">
        <v>0</v>
      </c>
      <c r="J48" s="43">
        <v>0</v>
      </c>
      <c r="K48" s="43">
        <v>0</v>
      </c>
      <c r="L48" s="43">
        <v>0</v>
      </c>
    </row>
    <row r="49" spans="1:12" x14ac:dyDescent="0.3">
      <c r="A49" s="92">
        <v>45918</v>
      </c>
      <c r="B49" s="8" t="s">
        <v>183</v>
      </c>
      <c r="C49" s="43">
        <v>5</v>
      </c>
      <c r="D49" s="93" t="s">
        <v>412</v>
      </c>
      <c r="E49" s="43" t="s">
        <v>86</v>
      </c>
      <c r="G49" s="43">
        <v>1</v>
      </c>
      <c r="H49" s="43">
        <v>0</v>
      </c>
      <c r="I49" s="43">
        <v>0</v>
      </c>
      <c r="J49" s="43">
        <v>0</v>
      </c>
      <c r="K49" s="43">
        <v>0</v>
      </c>
      <c r="L49" s="43">
        <v>0</v>
      </c>
    </row>
    <row r="50" spans="1:12" x14ac:dyDescent="0.3">
      <c r="A50" s="92">
        <v>45918</v>
      </c>
      <c r="B50" s="8" t="s">
        <v>183</v>
      </c>
      <c r="C50" s="43">
        <v>5</v>
      </c>
      <c r="D50" s="93" t="s">
        <v>413</v>
      </c>
      <c r="E50" s="43" t="s">
        <v>87</v>
      </c>
      <c r="F50" s="43" t="s">
        <v>410</v>
      </c>
      <c r="G50" s="43">
        <v>1</v>
      </c>
      <c r="H50" s="43">
        <v>2400</v>
      </c>
      <c r="I50" s="43">
        <v>50</v>
      </c>
      <c r="J50" s="43">
        <v>120000</v>
      </c>
      <c r="K50" s="43">
        <v>2400</v>
      </c>
      <c r="L50" s="43">
        <v>50</v>
      </c>
    </row>
    <row r="51" spans="1:12" x14ac:dyDescent="0.3">
      <c r="A51" s="92">
        <v>45918</v>
      </c>
      <c r="B51" s="8" t="s">
        <v>183</v>
      </c>
      <c r="C51" s="43">
        <v>5</v>
      </c>
      <c r="D51" s="93" t="s">
        <v>413</v>
      </c>
      <c r="E51" s="43" t="s">
        <v>88</v>
      </c>
      <c r="G51" s="43">
        <v>1</v>
      </c>
      <c r="H51" s="43">
        <v>0</v>
      </c>
      <c r="I51" s="43">
        <v>0</v>
      </c>
      <c r="J51" s="43">
        <v>0</v>
      </c>
      <c r="K51" s="43">
        <v>0</v>
      </c>
      <c r="L51" s="43">
        <v>0</v>
      </c>
    </row>
    <row r="52" spans="1:12" x14ac:dyDescent="0.3">
      <c r="A52" s="92">
        <v>45931</v>
      </c>
      <c r="B52" s="8" t="s">
        <v>183</v>
      </c>
      <c r="C52" s="43">
        <v>6</v>
      </c>
      <c r="D52" s="93" t="s">
        <v>411</v>
      </c>
      <c r="E52" s="43" t="s">
        <v>79</v>
      </c>
      <c r="F52" s="43" t="s">
        <v>178</v>
      </c>
      <c r="G52" s="43">
        <v>-1</v>
      </c>
      <c r="H52" s="43">
        <v>4000</v>
      </c>
      <c r="I52" s="43">
        <v>112.25714285714287</v>
      </c>
      <c r="J52" s="43">
        <v>449028.57142857148</v>
      </c>
      <c r="K52" s="43">
        <v>-4000</v>
      </c>
      <c r="L52" s="43">
        <v>0</v>
      </c>
    </row>
    <row r="53" spans="1:12" x14ac:dyDescent="0.3">
      <c r="A53" s="92">
        <v>45931</v>
      </c>
      <c r="B53" s="8" t="s">
        <v>183</v>
      </c>
      <c r="C53" s="43">
        <v>6</v>
      </c>
      <c r="D53" s="93" t="s">
        <v>411</v>
      </c>
      <c r="E53" s="43" t="s">
        <v>80</v>
      </c>
      <c r="G53" s="43">
        <v>-1</v>
      </c>
      <c r="H53" s="43">
        <v>0</v>
      </c>
      <c r="I53" s="43">
        <v>0</v>
      </c>
      <c r="J53" s="43">
        <v>0</v>
      </c>
      <c r="K53" s="43">
        <v>0</v>
      </c>
      <c r="L53" s="43">
        <v>0</v>
      </c>
    </row>
    <row r="54" spans="1:12" x14ac:dyDescent="0.3">
      <c r="A54" s="92">
        <v>45931</v>
      </c>
      <c r="B54" s="8" t="s">
        <v>183</v>
      </c>
      <c r="C54" s="43">
        <v>6</v>
      </c>
      <c r="D54" s="93" t="s">
        <v>411</v>
      </c>
      <c r="E54" s="43" t="s">
        <v>81</v>
      </c>
      <c r="G54" s="43">
        <v>-1</v>
      </c>
      <c r="H54" s="43">
        <v>0</v>
      </c>
      <c r="I54" s="43">
        <v>0</v>
      </c>
      <c r="J54" s="43">
        <v>0</v>
      </c>
      <c r="K54" s="43">
        <v>0</v>
      </c>
      <c r="L54" s="43">
        <v>0</v>
      </c>
    </row>
    <row r="55" spans="1:12" x14ac:dyDescent="0.3">
      <c r="A55" s="92">
        <v>45931</v>
      </c>
      <c r="B55" s="8" t="s">
        <v>183</v>
      </c>
      <c r="C55" s="43">
        <v>6</v>
      </c>
      <c r="D55" s="93" t="s">
        <v>411</v>
      </c>
      <c r="E55" s="43" t="s">
        <v>82</v>
      </c>
      <c r="G55" s="43">
        <v>-1</v>
      </c>
      <c r="H55" s="43">
        <v>0</v>
      </c>
      <c r="I55" s="43">
        <v>0</v>
      </c>
      <c r="J55" s="43">
        <v>0</v>
      </c>
      <c r="K55" s="43">
        <v>0</v>
      </c>
      <c r="L55" s="43">
        <v>0</v>
      </c>
    </row>
    <row r="56" spans="1:12" x14ac:dyDescent="0.3">
      <c r="A56" s="92">
        <v>45931</v>
      </c>
      <c r="B56" s="8" t="s">
        <v>183</v>
      </c>
      <c r="C56" s="43">
        <v>6</v>
      </c>
      <c r="D56" s="93" t="s">
        <v>411</v>
      </c>
      <c r="E56" s="43" t="s">
        <v>83</v>
      </c>
      <c r="G56" s="43">
        <v>-1</v>
      </c>
      <c r="H56" s="43">
        <v>0</v>
      </c>
      <c r="I56" s="43">
        <v>0</v>
      </c>
      <c r="J56" s="43">
        <v>0</v>
      </c>
      <c r="K56" s="43">
        <v>0</v>
      </c>
      <c r="L56" s="43">
        <v>0</v>
      </c>
    </row>
    <row r="57" spans="1:12" x14ac:dyDescent="0.3">
      <c r="A57" s="92">
        <v>45931</v>
      </c>
      <c r="B57" s="8" t="s">
        <v>183</v>
      </c>
      <c r="C57" s="43">
        <v>6</v>
      </c>
      <c r="D57" s="93" t="s">
        <v>412</v>
      </c>
      <c r="E57" s="43" t="s">
        <v>84</v>
      </c>
      <c r="F57" s="43" t="s">
        <v>409</v>
      </c>
      <c r="G57" s="43">
        <v>1</v>
      </c>
      <c r="H57" s="43">
        <v>1600</v>
      </c>
      <c r="I57" s="43">
        <v>205.64285714285717</v>
      </c>
      <c r="J57" s="43">
        <v>329028.57142857148</v>
      </c>
      <c r="K57" s="43">
        <v>1600</v>
      </c>
      <c r="L57" s="43">
        <v>320</v>
      </c>
    </row>
    <row r="58" spans="1:12" x14ac:dyDescent="0.3">
      <c r="A58" s="92">
        <v>45931</v>
      </c>
      <c r="B58" s="8" t="s">
        <v>183</v>
      </c>
      <c r="C58" s="43">
        <v>6</v>
      </c>
      <c r="D58" s="93" t="s">
        <v>412</v>
      </c>
      <c r="E58" s="43" t="s">
        <v>85</v>
      </c>
      <c r="G58" s="43">
        <v>1</v>
      </c>
      <c r="H58" s="43">
        <v>0</v>
      </c>
      <c r="I58" s="43">
        <v>0</v>
      </c>
      <c r="J58" s="43">
        <v>0</v>
      </c>
      <c r="K58" s="43">
        <v>0</v>
      </c>
      <c r="L58" s="43">
        <v>0</v>
      </c>
    </row>
    <row r="59" spans="1:12" x14ac:dyDescent="0.3">
      <c r="A59" s="92">
        <v>45931</v>
      </c>
      <c r="B59" s="8" t="s">
        <v>183</v>
      </c>
      <c r="C59" s="43">
        <v>6</v>
      </c>
      <c r="D59" s="93" t="s">
        <v>412</v>
      </c>
      <c r="E59" s="43" t="s">
        <v>86</v>
      </c>
      <c r="G59" s="43">
        <v>1</v>
      </c>
      <c r="H59" s="43">
        <v>0</v>
      </c>
      <c r="I59" s="43">
        <v>0</v>
      </c>
      <c r="J59" s="43">
        <v>0</v>
      </c>
      <c r="K59" s="43">
        <v>0</v>
      </c>
      <c r="L59" s="43">
        <v>0</v>
      </c>
    </row>
    <row r="60" spans="1:12" x14ac:dyDescent="0.3">
      <c r="A60" s="92">
        <v>45931</v>
      </c>
      <c r="B60" s="8" t="s">
        <v>183</v>
      </c>
      <c r="C60" s="43">
        <v>6</v>
      </c>
      <c r="D60" s="93" t="s">
        <v>413</v>
      </c>
      <c r="E60" s="43" t="s">
        <v>87</v>
      </c>
      <c r="F60" s="43" t="s">
        <v>410</v>
      </c>
      <c r="G60" s="43">
        <v>1</v>
      </c>
      <c r="H60" s="43">
        <v>2400</v>
      </c>
      <c r="I60" s="43">
        <v>50</v>
      </c>
      <c r="J60" s="43">
        <v>120000</v>
      </c>
      <c r="K60" s="43">
        <v>2400</v>
      </c>
      <c r="L60" s="43">
        <v>50</v>
      </c>
    </row>
    <row r="61" spans="1:12" x14ac:dyDescent="0.3">
      <c r="A61" s="92">
        <v>45931</v>
      </c>
      <c r="B61" s="8" t="s">
        <v>183</v>
      </c>
      <c r="C61" s="43">
        <v>6</v>
      </c>
      <c r="D61" s="93" t="s">
        <v>413</v>
      </c>
      <c r="E61" s="43" t="s">
        <v>88</v>
      </c>
      <c r="G61" s="43">
        <v>1</v>
      </c>
      <c r="H61" s="43">
        <v>0</v>
      </c>
      <c r="I61" s="43">
        <v>0</v>
      </c>
      <c r="J61" s="43">
        <v>0</v>
      </c>
      <c r="K61" s="43">
        <v>0</v>
      </c>
      <c r="L61" s="43">
        <v>0</v>
      </c>
    </row>
    <row r="62" spans="1:12" x14ac:dyDescent="0.3">
      <c r="A62" s="92">
        <v>45948</v>
      </c>
      <c r="B62" s="8" t="s">
        <v>206</v>
      </c>
      <c r="C62" s="43">
        <v>7</v>
      </c>
      <c r="D62" s="93" t="s">
        <v>411</v>
      </c>
      <c r="E62" s="43" t="s">
        <v>79</v>
      </c>
      <c r="F62" s="43" t="s">
        <v>178</v>
      </c>
      <c r="G62" s="43">
        <v>-1</v>
      </c>
      <c r="H62" s="43">
        <v>4000</v>
      </c>
      <c r="I62" s="43">
        <v>113.53333333333335</v>
      </c>
      <c r="J62" s="43">
        <v>454133.33333333337</v>
      </c>
      <c r="K62" s="43">
        <v>-4000</v>
      </c>
      <c r="L62" s="43">
        <v>0</v>
      </c>
    </row>
    <row r="63" spans="1:12" x14ac:dyDescent="0.3">
      <c r="A63" s="92">
        <v>45948</v>
      </c>
      <c r="B63" s="8" t="s">
        <v>206</v>
      </c>
      <c r="C63" s="43">
        <v>7</v>
      </c>
      <c r="D63" s="93" t="s">
        <v>411</v>
      </c>
      <c r="E63" s="43" t="s">
        <v>80</v>
      </c>
      <c r="G63" s="43">
        <v>-1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</row>
    <row r="64" spans="1:12" x14ac:dyDescent="0.3">
      <c r="A64" s="92">
        <v>45948</v>
      </c>
      <c r="B64" s="8" t="s">
        <v>206</v>
      </c>
      <c r="C64" s="43">
        <v>7</v>
      </c>
      <c r="D64" s="93" t="s">
        <v>411</v>
      </c>
      <c r="E64" s="43" t="s">
        <v>81</v>
      </c>
      <c r="G64" s="43">
        <v>-1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</row>
    <row r="65" spans="1:12" x14ac:dyDescent="0.3">
      <c r="A65" s="92">
        <v>45948</v>
      </c>
      <c r="B65" s="8" t="s">
        <v>206</v>
      </c>
      <c r="C65" s="43">
        <v>7</v>
      </c>
      <c r="D65" s="93" t="s">
        <v>411</v>
      </c>
      <c r="E65" s="43" t="s">
        <v>82</v>
      </c>
      <c r="G65" s="43">
        <v>-1</v>
      </c>
      <c r="H65" s="43">
        <v>0</v>
      </c>
      <c r="I65" s="43">
        <v>0</v>
      </c>
      <c r="J65" s="43">
        <v>0</v>
      </c>
      <c r="K65" s="43">
        <v>0</v>
      </c>
      <c r="L65" s="43">
        <v>0</v>
      </c>
    </row>
    <row r="66" spans="1:12" x14ac:dyDescent="0.3">
      <c r="A66" s="92">
        <v>45948</v>
      </c>
      <c r="B66" s="8" t="s">
        <v>206</v>
      </c>
      <c r="C66" s="43">
        <v>7</v>
      </c>
      <c r="D66" s="93" t="s">
        <v>411</v>
      </c>
      <c r="E66" s="43" t="s">
        <v>83</v>
      </c>
      <c r="G66" s="43">
        <v>-1</v>
      </c>
      <c r="H66" s="43">
        <v>0</v>
      </c>
      <c r="I66" s="43">
        <v>0</v>
      </c>
      <c r="J66" s="43">
        <v>0</v>
      </c>
      <c r="K66" s="43">
        <v>0</v>
      </c>
      <c r="L66" s="43">
        <v>0</v>
      </c>
    </row>
    <row r="67" spans="1:12" x14ac:dyDescent="0.3">
      <c r="A67" s="92">
        <v>45948</v>
      </c>
      <c r="B67" s="8" t="s">
        <v>206</v>
      </c>
      <c r="C67" s="43">
        <v>7</v>
      </c>
      <c r="D67" s="93" t="s">
        <v>412</v>
      </c>
      <c r="E67" s="43" t="s">
        <v>84</v>
      </c>
      <c r="F67" s="43" t="s">
        <v>409</v>
      </c>
      <c r="G67" s="43">
        <v>1</v>
      </c>
      <c r="H67" s="43">
        <v>1600</v>
      </c>
      <c r="I67" s="43">
        <v>208.83333333333337</v>
      </c>
      <c r="J67" s="43">
        <v>334133.33333333337</v>
      </c>
      <c r="K67" s="43">
        <v>1600</v>
      </c>
      <c r="L67" s="43">
        <v>320</v>
      </c>
    </row>
    <row r="68" spans="1:12" x14ac:dyDescent="0.3">
      <c r="A68" s="92">
        <v>45948</v>
      </c>
      <c r="B68" s="8" t="s">
        <v>206</v>
      </c>
      <c r="C68" s="43">
        <v>7</v>
      </c>
      <c r="D68" s="93" t="s">
        <v>412</v>
      </c>
      <c r="E68" s="43" t="s">
        <v>85</v>
      </c>
      <c r="G68" s="43">
        <v>1</v>
      </c>
      <c r="H68" s="43">
        <v>0</v>
      </c>
      <c r="I68" s="43">
        <v>0</v>
      </c>
      <c r="J68" s="43">
        <v>0</v>
      </c>
      <c r="K68" s="43">
        <v>0</v>
      </c>
      <c r="L68" s="43">
        <v>0</v>
      </c>
    </row>
    <row r="69" spans="1:12" x14ac:dyDescent="0.3">
      <c r="A69" s="92">
        <v>45948</v>
      </c>
      <c r="B69" s="8" t="s">
        <v>206</v>
      </c>
      <c r="C69" s="43">
        <v>7</v>
      </c>
      <c r="D69" s="93" t="s">
        <v>412</v>
      </c>
      <c r="E69" s="43" t="s">
        <v>86</v>
      </c>
      <c r="G69" s="43">
        <v>1</v>
      </c>
      <c r="H69" s="43">
        <v>0</v>
      </c>
      <c r="I69" s="43">
        <v>0</v>
      </c>
      <c r="J69" s="43">
        <v>0</v>
      </c>
      <c r="K69" s="43">
        <v>0</v>
      </c>
      <c r="L69" s="43">
        <v>0</v>
      </c>
    </row>
    <row r="70" spans="1:12" x14ac:dyDescent="0.3">
      <c r="A70" s="92">
        <v>45948</v>
      </c>
      <c r="B70" s="8" t="s">
        <v>206</v>
      </c>
      <c r="C70" s="43">
        <v>7</v>
      </c>
      <c r="D70" s="93" t="s">
        <v>413</v>
      </c>
      <c r="E70" s="43" t="s">
        <v>87</v>
      </c>
      <c r="F70" s="43" t="s">
        <v>410</v>
      </c>
      <c r="G70" s="43">
        <v>1</v>
      </c>
      <c r="H70" s="43">
        <v>2400</v>
      </c>
      <c r="I70" s="43">
        <v>50</v>
      </c>
      <c r="J70" s="43">
        <v>120000</v>
      </c>
      <c r="K70" s="43">
        <v>2400</v>
      </c>
      <c r="L70" s="43">
        <v>50</v>
      </c>
    </row>
    <row r="71" spans="1:12" x14ac:dyDescent="0.3">
      <c r="A71" s="92">
        <v>45948</v>
      </c>
      <c r="B71" s="8" t="s">
        <v>206</v>
      </c>
      <c r="C71" s="43">
        <v>7</v>
      </c>
      <c r="D71" s="93" t="s">
        <v>413</v>
      </c>
      <c r="E71" s="43" t="s">
        <v>88</v>
      </c>
      <c r="G71" s="43">
        <v>1</v>
      </c>
      <c r="H71" s="43">
        <v>0</v>
      </c>
      <c r="I71" s="43">
        <v>0</v>
      </c>
      <c r="J71" s="43">
        <v>0</v>
      </c>
      <c r="K71" s="43">
        <v>0</v>
      </c>
      <c r="L71" s="43">
        <v>0</v>
      </c>
    </row>
    <row r="72" spans="1:12" x14ac:dyDescent="0.3">
      <c r="A72" s="92">
        <v>45962</v>
      </c>
      <c r="B72" s="8" t="s">
        <v>206</v>
      </c>
      <c r="C72" s="43">
        <v>8</v>
      </c>
      <c r="D72" s="93" t="s">
        <v>411</v>
      </c>
      <c r="E72" s="43" t="s">
        <v>79</v>
      </c>
      <c r="F72" s="43" t="s">
        <v>178</v>
      </c>
      <c r="G72" s="43">
        <v>-1</v>
      </c>
      <c r="H72" s="43">
        <v>3000</v>
      </c>
      <c r="I72" s="43">
        <v>113.53333333333333</v>
      </c>
      <c r="J72" s="43">
        <v>340600</v>
      </c>
      <c r="K72" s="43">
        <v>-3000</v>
      </c>
      <c r="L72" s="43">
        <v>0</v>
      </c>
    </row>
    <row r="73" spans="1:12" x14ac:dyDescent="0.3">
      <c r="A73" s="92">
        <v>45962</v>
      </c>
      <c r="B73" s="8" t="s">
        <v>206</v>
      </c>
      <c r="C73" s="43">
        <v>8</v>
      </c>
      <c r="D73" s="93" t="s">
        <v>411</v>
      </c>
      <c r="E73" s="43" t="s">
        <v>80</v>
      </c>
      <c r="G73" s="43">
        <v>-1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</row>
    <row r="74" spans="1:12" x14ac:dyDescent="0.3">
      <c r="A74" s="92">
        <v>45962</v>
      </c>
      <c r="B74" s="8" t="s">
        <v>206</v>
      </c>
      <c r="C74" s="43">
        <v>8</v>
      </c>
      <c r="D74" s="93" t="s">
        <v>411</v>
      </c>
      <c r="E74" s="43" t="s">
        <v>81</v>
      </c>
      <c r="G74" s="43">
        <v>-1</v>
      </c>
      <c r="H74" s="43">
        <v>0</v>
      </c>
      <c r="I74" s="43">
        <v>0</v>
      </c>
      <c r="J74" s="43">
        <v>0</v>
      </c>
      <c r="K74" s="43">
        <v>0</v>
      </c>
      <c r="L74" s="43">
        <v>0</v>
      </c>
    </row>
    <row r="75" spans="1:12" x14ac:dyDescent="0.3">
      <c r="A75" s="92">
        <v>45962</v>
      </c>
      <c r="B75" s="8" t="s">
        <v>206</v>
      </c>
      <c r="C75" s="43">
        <v>8</v>
      </c>
      <c r="D75" s="93" t="s">
        <v>411</v>
      </c>
      <c r="E75" s="43" t="s">
        <v>82</v>
      </c>
      <c r="G75" s="43">
        <v>-1</v>
      </c>
      <c r="H75" s="43">
        <v>0</v>
      </c>
      <c r="I75" s="43">
        <v>0</v>
      </c>
      <c r="J75" s="43">
        <v>0</v>
      </c>
      <c r="K75" s="43">
        <v>0</v>
      </c>
      <c r="L75" s="43">
        <v>0</v>
      </c>
    </row>
    <row r="76" spans="1:12" x14ac:dyDescent="0.3">
      <c r="A76" s="92">
        <v>45962</v>
      </c>
      <c r="B76" s="8" t="s">
        <v>206</v>
      </c>
      <c r="C76" s="43">
        <v>8</v>
      </c>
      <c r="D76" s="93" t="s">
        <v>411</v>
      </c>
      <c r="E76" s="43" t="s">
        <v>83</v>
      </c>
      <c r="G76" s="43">
        <v>-1</v>
      </c>
      <c r="H76" s="43">
        <v>0</v>
      </c>
      <c r="I76" s="43">
        <v>0</v>
      </c>
      <c r="J76" s="43">
        <v>0</v>
      </c>
      <c r="K76" s="43">
        <v>0</v>
      </c>
      <c r="L76" s="43">
        <v>0</v>
      </c>
    </row>
    <row r="77" spans="1:12" x14ac:dyDescent="0.3">
      <c r="A77" s="92">
        <v>45962</v>
      </c>
      <c r="B77" s="8" t="s">
        <v>206</v>
      </c>
      <c r="C77" s="43">
        <v>8</v>
      </c>
      <c r="D77" s="93" t="s">
        <v>412</v>
      </c>
      <c r="E77" s="43" t="s">
        <v>84</v>
      </c>
      <c r="F77" s="43" t="s">
        <v>409</v>
      </c>
      <c r="G77" s="43">
        <v>1</v>
      </c>
      <c r="H77" s="43">
        <v>1200</v>
      </c>
      <c r="I77" s="43">
        <v>208.83333333333334</v>
      </c>
      <c r="J77" s="43">
        <v>250600</v>
      </c>
      <c r="K77" s="43">
        <v>1200</v>
      </c>
      <c r="L77" s="43">
        <v>320</v>
      </c>
    </row>
    <row r="78" spans="1:12" x14ac:dyDescent="0.3">
      <c r="A78" s="92">
        <v>45962</v>
      </c>
      <c r="B78" s="8" t="s">
        <v>206</v>
      </c>
      <c r="C78" s="43">
        <v>8</v>
      </c>
      <c r="D78" s="93" t="s">
        <v>412</v>
      </c>
      <c r="E78" s="43" t="s">
        <v>85</v>
      </c>
      <c r="G78" s="43">
        <v>1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</row>
    <row r="79" spans="1:12" x14ac:dyDescent="0.3">
      <c r="A79" s="92">
        <v>45962</v>
      </c>
      <c r="B79" s="8" t="s">
        <v>206</v>
      </c>
      <c r="C79" s="43">
        <v>8</v>
      </c>
      <c r="D79" s="93" t="s">
        <v>412</v>
      </c>
      <c r="E79" s="43" t="s">
        <v>86</v>
      </c>
      <c r="G79" s="43">
        <v>1</v>
      </c>
      <c r="H79" s="43">
        <v>0</v>
      </c>
      <c r="I79" s="43">
        <v>0</v>
      </c>
      <c r="J79" s="43">
        <v>0</v>
      </c>
      <c r="K79" s="43">
        <v>0</v>
      </c>
      <c r="L79" s="43">
        <v>0</v>
      </c>
    </row>
    <row r="80" spans="1:12" x14ac:dyDescent="0.3">
      <c r="A80" s="92">
        <v>45962</v>
      </c>
      <c r="B80" s="8" t="s">
        <v>206</v>
      </c>
      <c r="C80" s="43">
        <v>8</v>
      </c>
      <c r="D80" s="93" t="s">
        <v>413</v>
      </c>
      <c r="E80" s="43" t="s">
        <v>87</v>
      </c>
      <c r="F80" s="43" t="s">
        <v>410</v>
      </c>
      <c r="G80" s="43">
        <v>1</v>
      </c>
      <c r="H80" s="43">
        <v>1800</v>
      </c>
      <c r="I80" s="43">
        <v>50</v>
      </c>
      <c r="J80" s="43">
        <v>90000</v>
      </c>
      <c r="K80" s="43">
        <v>1800</v>
      </c>
      <c r="L80" s="43">
        <v>50</v>
      </c>
    </row>
    <row r="81" spans="1:12" x14ac:dyDescent="0.3">
      <c r="A81" s="92">
        <v>45962</v>
      </c>
      <c r="B81" s="8" t="s">
        <v>206</v>
      </c>
      <c r="C81" s="43">
        <v>8</v>
      </c>
      <c r="D81" s="93" t="s">
        <v>413</v>
      </c>
      <c r="E81" s="43" t="s">
        <v>88</v>
      </c>
      <c r="G81" s="43">
        <v>1</v>
      </c>
      <c r="H81" s="43">
        <v>0</v>
      </c>
      <c r="I81" s="43">
        <v>0</v>
      </c>
      <c r="J81" s="43">
        <v>0</v>
      </c>
      <c r="K81" s="43">
        <v>0</v>
      </c>
      <c r="L81" s="43">
        <v>0</v>
      </c>
    </row>
    <row r="82" spans="1:12" x14ac:dyDescent="0.3">
      <c r="A82" s="92">
        <v>45979</v>
      </c>
      <c r="B82" s="8" t="s">
        <v>184</v>
      </c>
      <c r="C82" s="43">
        <v>9</v>
      </c>
      <c r="D82" s="93" t="s">
        <v>411</v>
      </c>
      <c r="E82" s="43" t="s">
        <v>79</v>
      </c>
      <c r="F82" s="43" t="s">
        <v>178</v>
      </c>
      <c r="G82" s="43">
        <v>-1</v>
      </c>
      <c r="H82" s="43">
        <v>3500</v>
      </c>
      <c r="I82" s="43">
        <v>112.9</v>
      </c>
      <c r="J82" s="43">
        <v>395150</v>
      </c>
      <c r="K82" s="43">
        <v>-3500</v>
      </c>
      <c r="L82" s="43">
        <v>0</v>
      </c>
    </row>
    <row r="83" spans="1:12" x14ac:dyDescent="0.3">
      <c r="A83" s="92">
        <v>45979</v>
      </c>
      <c r="B83" s="8" t="s">
        <v>184</v>
      </c>
      <c r="C83" s="43">
        <v>9</v>
      </c>
      <c r="D83" s="93" t="s">
        <v>411</v>
      </c>
      <c r="E83" s="43" t="s">
        <v>80</v>
      </c>
      <c r="G83" s="43">
        <v>-1</v>
      </c>
      <c r="H83" s="43">
        <v>0</v>
      </c>
      <c r="I83" s="43">
        <v>0</v>
      </c>
      <c r="J83" s="43">
        <v>0</v>
      </c>
      <c r="K83" s="43">
        <v>0</v>
      </c>
      <c r="L83" s="43">
        <v>0</v>
      </c>
    </row>
    <row r="84" spans="1:12" x14ac:dyDescent="0.3">
      <c r="A84" s="92">
        <v>45979</v>
      </c>
      <c r="B84" s="8" t="s">
        <v>184</v>
      </c>
      <c r="C84" s="43">
        <v>9</v>
      </c>
      <c r="D84" s="93" t="s">
        <v>411</v>
      </c>
      <c r="E84" s="43" t="s">
        <v>81</v>
      </c>
      <c r="G84" s="43">
        <v>-1</v>
      </c>
      <c r="H84" s="43">
        <v>0</v>
      </c>
      <c r="I84" s="43">
        <v>0</v>
      </c>
      <c r="J84" s="43">
        <v>0</v>
      </c>
      <c r="K84" s="43">
        <v>0</v>
      </c>
      <c r="L84" s="43">
        <v>0</v>
      </c>
    </row>
    <row r="85" spans="1:12" x14ac:dyDescent="0.3">
      <c r="A85" s="92">
        <v>45979</v>
      </c>
      <c r="B85" s="8" t="s">
        <v>184</v>
      </c>
      <c r="C85" s="43">
        <v>9</v>
      </c>
      <c r="D85" s="93" t="s">
        <v>411</v>
      </c>
      <c r="E85" s="43" t="s">
        <v>82</v>
      </c>
      <c r="G85" s="43">
        <v>-1</v>
      </c>
      <c r="H85" s="43">
        <v>0</v>
      </c>
      <c r="I85" s="43">
        <v>0</v>
      </c>
      <c r="J85" s="43">
        <v>0</v>
      </c>
      <c r="K85" s="43">
        <v>0</v>
      </c>
      <c r="L85" s="43">
        <v>0</v>
      </c>
    </row>
    <row r="86" spans="1:12" x14ac:dyDescent="0.3">
      <c r="A86" s="92">
        <v>45979</v>
      </c>
      <c r="B86" s="8" t="s">
        <v>184</v>
      </c>
      <c r="C86" s="43">
        <v>9</v>
      </c>
      <c r="D86" s="93" t="s">
        <v>411</v>
      </c>
      <c r="E86" s="43" t="s">
        <v>83</v>
      </c>
      <c r="G86" s="43">
        <v>-1</v>
      </c>
      <c r="H86" s="43">
        <v>0</v>
      </c>
      <c r="I86" s="43">
        <v>0</v>
      </c>
      <c r="J86" s="43">
        <v>0</v>
      </c>
      <c r="K86" s="43">
        <v>0</v>
      </c>
      <c r="L86" s="43">
        <v>0</v>
      </c>
    </row>
    <row r="87" spans="1:12" x14ac:dyDescent="0.3">
      <c r="A87" s="92">
        <v>45979</v>
      </c>
      <c r="B87" s="8" t="s">
        <v>184</v>
      </c>
      <c r="C87" s="43">
        <v>9</v>
      </c>
      <c r="D87" s="93" t="s">
        <v>412</v>
      </c>
      <c r="E87" s="43" t="s">
        <v>84</v>
      </c>
      <c r="F87" s="43" t="s">
        <v>409</v>
      </c>
      <c r="G87" s="43">
        <v>1</v>
      </c>
      <c r="H87" s="43">
        <v>1400</v>
      </c>
      <c r="I87" s="43">
        <v>207.25</v>
      </c>
      <c r="J87" s="43">
        <v>290150</v>
      </c>
      <c r="K87" s="43">
        <v>1400</v>
      </c>
      <c r="L87" s="43">
        <v>320</v>
      </c>
    </row>
    <row r="88" spans="1:12" x14ac:dyDescent="0.3">
      <c r="A88" s="92">
        <v>45979</v>
      </c>
      <c r="B88" s="8" t="s">
        <v>184</v>
      </c>
      <c r="C88" s="43">
        <v>9</v>
      </c>
      <c r="D88" s="93" t="s">
        <v>412</v>
      </c>
      <c r="E88" s="43" t="s">
        <v>85</v>
      </c>
      <c r="G88" s="43">
        <v>1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</row>
    <row r="89" spans="1:12" x14ac:dyDescent="0.3">
      <c r="A89" s="92">
        <v>45979</v>
      </c>
      <c r="B89" s="8" t="s">
        <v>184</v>
      </c>
      <c r="C89" s="43">
        <v>9</v>
      </c>
      <c r="D89" s="93" t="s">
        <v>412</v>
      </c>
      <c r="E89" s="43" t="s">
        <v>86</v>
      </c>
      <c r="G89" s="43">
        <v>1</v>
      </c>
      <c r="H89" s="43">
        <v>0</v>
      </c>
      <c r="I89" s="43">
        <v>0</v>
      </c>
      <c r="J89" s="43">
        <v>0</v>
      </c>
      <c r="K89" s="43">
        <v>0</v>
      </c>
      <c r="L89" s="43">
        <v>0</v>
      </c>
    </row>
    <row r="90" spans="1:12" x14ac:dyDescent="0.3">
      <c r="A90" s="92">
        <v>45979</v>
      </c>
      <c r="B90" s="8" t="s">
        <v>184</v>
      </c>
      <c r="C90" s="43">
        <v>9</v>
      </c>
      <c r="D90" s="93" t="s">
        <v>413</v>
      </c>
      <c r="E90" s="43" t="s">
        <v>87</v>
      </c>
      <c r="F90" s="43" t="s">
        <v>410</v>
      </c>
      <c r="G90" s="43">
        <v>1</v>
      </c>
      <c r="H90" s="43">
        <v>2100</v>
      </c>
      <c r="I90" s="43">
        <v>50</v>
      </c>
      <c r="J90" s="43">
        <v>105000</v>
      </c>
      <c r="K90" s="43">
        <v>2100</v>
      </c>
      <c r="L90" s="43">
        <v>50</v>
      </c>
    </row>
    <row r="91" spans="1:12" x14ac:dyDescent="0.3">
      <c r="A91" s="92">
        <v>45979</v>
      </c>
      <c r="B91" s="8" t="s">
        <v>184</v>
      </c>
      <c r="C91" s="43">
        <v>9</v>
      </c>
      <c r="D91" s="93" t="s">
        <v>413</v>
      </c>
      <c r="E91" s="43" t="s">
        <v>88</v>
      </c>
      <c r="G91" s="43">
        <v>1</v>
      </c>
      <c r="H91" s="43">
        <v>0</v>
      </c>
      <c r="I91" s="43">
        <v>0</v>
      </c>
      <c r="J91" s="43">
        <v>0</v>
      </c>
      <c r="K91" s="43">
        <v>0</v>
      </c>
      <c r="L91" s="43">
        <v>0</v>
      </c>
    </row>
    <row r="92" spans="1:12" x14ac:dyDescent="0.3">
      <c r="A92" s="92">
        <v>45992</v>
      </c>
      <c r="B92" s="8" t="s">
        <v>184</v>
      </c>
      <c r="C92" s="43">
        <v>10</v>
      </c>
      <c r="D92" s="93" t="s">
        <v>411</v>
      </c>
      <c r="E92" s="43" t="s">
        <v>79</v>
      </c>
      <c r="F92" s="43" t="s">
        <v>178</v>
      </c>
      <c r="G92" s="43">
        <v>-1</v>
      </c>
      <c r="H92" s="43">
        <v>2500</v>
      </c>
      <c r="I92" s="43">
        <v>113.33076923076922</v>
      </c>
      <c r="J92" s="43">
        <v>283326.92307692306</v>
      </c>
      <c r="K92" s="43">
        <v>-2500</v>
      </c>
      <c r="L92" s="43">
        <v>0</v>
      </c>
    </row>
    <row r="93" spans="1:12" x14ac:dyDescent="0.3">
      <c r="A93" s="92">
        <v>45992</v>
      </c>
      <c r="B93" s="8" t="s">
        <v>184</v>
      </c>
      <c r="C93" s="43">
        <v>10</v>
      </c>
      <c r="D93" s="93" t="s">
        <v>411</v>
      </c>
      <c r="E93" s="43" t="s">
        <v>80</v>
      </c>
      <c r="G93" s="43">
        <v>-1</v>
      </c>
      <c r="H93" s="43">
        <v>0</v>
      </c>
      <c r="I93" s="43">
        <v>0</v>
      </c>
      <c r="J93" s="43">
        <v>0</v>
      </c>
      <c r="K93" s="43">
        <v>0</v>
      </c>
      <c r="L93" s="43">
        <v>0</v>
      </c>
    </row>
    <row r="94" spans="1:12" x14ac:dyDescent="0.3">
      <c r="A94" s="92">
        <v>45992</v>
      </c>
      <c r="B94" s="8" t="s">
        <v>184</v>
      </c>
      <c r="C94" s="43">
        <v>10</v>
      </c>
      <c r="D94" s="93" t="s">
        <v>411</v>
      </c>
      <c r="E94" s="43" t="s">
        <v>81</v>
      </c>
      <c r="G94" s="43">
        <v>-1</v>
      </c>
      <c r="H94" s="43">
        <v>0</v>
      </c>
      <c r="I94" s="43">
        <v>0</v>
      </c>
      <c r="J94" s="43">
        <v>0</v>
      </c>
      <c r="K94" s="43">
        <v>0</v>
      </c>
      <c r="L94" s="43">
        <v>0</v>
      </c>
    </row>
    <row r="95" spans="1:12" x14ac:dyDescent="0.3">
      <c r="A95" s="92">
        <v>45992</v>
      </c>
      <c r="B95" s="8" t="s">
        <v>184</v>
      </c>
      <c r="C95" s="43">
        <v>10</v>
      </c>
      <c r="D95" s="93" t="s">
        <v>411</v>
      </c>
      <c r="E95" s="43" t="s">
        <v>82</v>
      </c>
      <c r="G95" s="43">
        <v>-1</v>
      </c>
      <c r="H95" s="43">
        <v>0</v>
      </c>
      <c r="I95" s="43">
        <v>0</v>
      </c>
      <c r="J95" s="43">
        <v>0</v>
      </c>
      <c r="K95" s="43">
        <v>0</v>
      </c>
      <c r="L95" s="43">
        <v>0</v>
      </c>
    </row>
    <row r="96" spans="1:12" x14ac:dyDescent="0.3">
      <c r="A96" s="92">
        <v>45992</v>
      </c>
      <c r="B96" s="8" t="s">
        <v>184</v>
      </c>
      <c r="C96" s="43">
        <v>10</v>
      </c>
      <c r="D96" s="93" t="s">
        <v>411</v>
      </c>
      <c r="E96" s="43" t="s">
        <v>83</v>
      </c>
      <c r="G96" s="43">
        <v>-1</v>
      </c>
      <c r="H96" s="43">
        <v>0</v>
      </c>
      <c r="I96" s="43">
        <v>0</v>
      </c>
      <c r="J96" s="43">
        <v>0</v>
      </c>
      <c r="K96" s="43">
        <v>0</v>
      </c>
      <c r="L96" s="43">
        <v>0</v>
      </c>
    </row>
    <row r="97" spans="1:12" x14ac:dyDescent="0.3">
      <c r="A97" s="92">
        <v>45992</v>
      </c>
      <c r="B97" s="8" t="s">
        <v>184</v>
      </c>
      <c r="C97" s="43">
        <v>10</v>
      </c>
      <c r="D97" s="93" t="s">
        <v>412</v>
      </c>
      <c r="E97" s="43" t="s">
        <v>84</v>
      </c>
      <c r="F97" s="43" t="s">
        <v>409</v>
      </c>
      <c r="G97" s="43">
        <v>1</v>
      </c>
      <c r="H97" s="43">
        <v>1000</v>
      </c>
      <c r="I97" s="43">
        <v>208.32692307692307</v>
      </c>
      <c r="J97" s="43">
        <v>208326.92307692306</v>
      </c>
      <c r="K97" s="43">
        <v>1000</v>
      </c>
      <c r="L97" s="43">
        <v>320</v>
      </c>
    </row>
    <row r="98" spans="1:12" x14ac:dyDescent="0.3">
      <c r="A98" s="92">
        <v>45992</v>
      </c>
      <c r="B98" s="8" t="s">
        <v>184</v>
      </c>
      <c r="C98" s="43">
        <v>10</v>
      </c>
      <c r="D98" s="93" t="s">
        <v>412</v>
      </c>
      <c r="E98" s="43" t="s">
        <v>85</v>
      </c>
      <c r="G98" s="43">
        <v>1</v>
      </c>
      <c r="H98" s="43">
        <v>0</v>
      </c>
      <c r="I98" s="43">
        <v>0</v>
      </c>
      <c r="J98" s="43">
        <v>0</v>
      </c>
      <c r="K98" s="43">
        <v>0</v>
      </c>
      <c r="L98" s="43">
        <v>0</v>
      </c>
    </row>
    <row r="99" spans="1:12" x14ac:dyDescent="0.3">
      <c r="A99" s="92">
        <v>45992</v>
      </c>
      <c r="B99" s="8" t="s">
        <v>184</v>
      </c>
      <c r="C99" s="43">
        <v>10</v>
      </c>
      <c r="D99" s="93" t="s">
        <v>412</v>
      </c>
      <c r="E99" s="43" t="s">
        <v>86</v>
      </c>
      <c r="G99" s="43">
        <v>1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</row>
    <row r="100" spans="1:12" x14ac:dyDescent="0.3">
      <c r="A100" s="92">
        <v>45992</v>
      </c>
      <c r="B100" s="8" t="s">
        <v>184</v>
      </c>
      <c r="C100" s="43">
        <v>10</v>
      </c>
      <c r="D100" s="93" t="s">
        <v>413</v>
      </c>
      <c r="E100" s="43" t="s">
        <v>87</v>
      </c>
      <c r="F100" s="43" t="s">
        <v>410</v>
      </c>
      <c r="G100" s="43">
        <v>1</v>
      </c>
      <c r="H100" s="43">
        <v>1500</v>
      </c>
      <c r="I100" s="43">
        <v>50</v>
      </c>
      <c r="J100" s="43">
        <v>75000</v>
      </c>
      <c r="K100" s="43">
        <v>1500</v>
      </c>
      <c r="L100" s="43">
        <v>50</v>
      </c>
    </row>
    <row r="101" spans="1:12" x14ac:dyDescent="0.3">
      <c r="A101" s="92">
        <v>45992</v>
      </c>
      <c r="B101" s="8" t="s">
        <v>184</v>
      </c>
      <c r="C101" s="43">
        <v>10</v>
      </c>
      <c r="D101" s="93" t="s">
        <v>413</v>
      </c>
      <c r="E101" s="43" t="s">
        <v>88</v>
      </c>
      <c r="G101" s="43">
        <v>1</v>
      </c>
      <c r="H101" s="43">
        <v>0</v>
      </c>
      <c r="I101" s="43">
        <v>0</v>
      </c>
      <c r="J101" s="43">
        <v>0</v>
      </c>
      <c r="K101" s="43">
        <v>0</v>
      </c>
      <c r="L101" s="43">
        <v>0</v>
      </c>
    </row>
    <row r="102" spans="1:12" x14ac:dyDescent="0.3">
      <c r="A102" s="92">
        <v>46009</v>
      </c>
      <c r="B102" s="8" t="s">
        <v>177</v>
      </c>
      <c r="C102" s="43">
        <v>11</v>
      </c>
      <c r="D102" s="93" t="s">
        <v>411</v>
      </c>
      <c r="E102" s="43" t="s">
        <v>79</v>
      </c>
      <c r="F102" s="43" t="s">
        <v>178</v>
      </c>
      <c r="G102" s="43">
        <v>-1</v>
      </c>
      <c r="H102" s="43">
        <v>3000</v>
      </c>
      <c r="I102" s="43">
        <v>114.30437044745059</v>
      </c>
      <c r="J102" s="43">
        <v>342913.11134235177</v>
      </c>
      <c r="K102" s="43">
        <v>-3000</v>
      </c>
      <c r="L102" s="43">
        <v>0</v>
      </c>
    </row>
    <row r="103" spans="1:12" x14ac:dyDescent="0.3">
      <c r="A103" s="92">
        <v>46009</v>
      </c>
      <c r="B103" s="8" t="s">
        <v>177</v>
      </c>
      <c r="C103" s="43">
        <v>11</v>
      </c>
      <c r="D103" s="93" t="s">
        <v>411</v>
      </c>
      <c r="E103" s="43" t="s">
        <v>80</v>
      </c>
      <c r="G103" s="43">
        <v>-1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</row>
    <row r="104" spans="1:12" x14ac:dyDescent="0.3">
      <c r="A104" s="92">
        <v>46009</v>
      </c>
      <c r="B104" s="8" t="s">
        <v>177</v>
      </c>
      <c r="C104" s="43">
        <v>11</v>
      </c>
      <c r="D104" s="93" t="s">
        <v>411</v>
      </c>
      <c r="E104" s="43" t="s">
        <v>81</v>
      </c>
      <c r="G104" s="43">
        <v>-1</v>
      </c>
      <c r="H104" s="43">
        <v>0</v>
      </c>
      <c r="I104" s="43">
        <v>0</v>
      </c>
      <c r="J104" s="43">
        <v>0</v>
      </c>
      <c r="K104" s="43">
        <v>0</v>
      </c>
      <c r="L104" s="43">
        <v>0</v>
      </c>
    </row>
    <row r="105" spans="1:12" x14ac:dyDescent="0.3">
      <c r="A105" s="92">
        <v>46009</v>
      </c>
      <c r="B105" s="8" t="s">
        <v>177</v>
      </c>
      <c r="C105" s="43">
        <v>11</v>
      </c>
      <c r="D105" s="93" t="s">
        <v>411</v>
      </c>
      <c r="E105" s="43" t="s">
        <v>82</v>
      </c>
      <c r="G105" s="43">
        <v>-1</v>
      </c>
      <c r="H105" s="43">
        <v>0</v>
      </c>
      <c r="I105" s="43">
        <v>0</v>
      </c>
      <c r="J105" s="43">
        <v>0</v>
      </c>
      <c r="K105" s="43">
        <v>0</v>
      </c>
      <c r="L105" s="43">
        <v>0</v>
      </c>
    </row>
    <row r="106" spans="1:12" x14ac:dyDescent="0.3">
      <c r="A106" s="92">
        <v>46009</v>
      </c>
      <c r="B106" s="8" t="s">
        <v>177</v>
      </c>
      <c r="C106" s="43">
        <v>11</v>
      </c>
      <c r="D106" s="93" t="s">
        <v>411</v>
      </c>
      <c r="E106" s="43" t="s">
        <v>83</v>
      </c>
      <c r="G106" s="43">
        <v>-1</v>
      </c>
      <c r="H106" s="43">
        <v>0</v>
      </c>
      <c r="I106" s="43">
        <v>0</v>
      </c>
      <c r="J106" s="43">
        <v>0</v>
      </c>
      <c r="K106" s="43">
        <v>0</v>
      </c>
      <c r="L106" s="43">
        <v>0</v>
      </c>
    </row>
    <row r="107" spans="1:12" x14ac:dyDescent="0.3">
      <c r="A107" s="92">
        <v>46009</v>
      </c>
      <c r="B107" s="8" t="s">
        <v>177</v>
      </c>
      <c r="C107" s="43">
        <v>11</v>
      </c>
      <c r="D107" s="93" t="s">
        <v>412</v>
      </c>
      <c r="E107" s="43" t="s">
        <v>84</v>
      </c>
      <c r="F107" s="43" t="s">
        <v>409</v>
      </c>
      <c r="G107" s="43">
        <v>1</v>
      </c>
      <c r="H107" s="43">
        <v>1200</v>
      </c>
      <c r="I107" s="43">
        <v>210.76092611862649</v>
      </c>
      <c r="J107" s="43">
        <v>252913.11134235177</v>
      </c>
      <c r="K107" s="43">
        <v>1200</v>
      </c>
      <c r="L107" s="43">
        <v>320</v>
      </c>
    </row>
    <row r="108" spans="1:12" x14ac:dyDescent="0.3">
      <c r="A108" s="92">
        <v>46009</v>
      </c>
      <c r="B108" s="8" t="s">
        <v>177</v>
      </c>
      <c r="C108" s="43">
        <v>11</v>
      </c>
      <c r="D108" s="93" t="s">
        <v>412</v>
      </c>
      <c r="E108" s="43" t="s">
        <v>85</v>
      </c>
      <c r="G108" s="43">
        <v>1</v>
      </c>
      <c r="H108" s="43">
        <v>0</v>
      </c>
      <c r="I108" s="43">
        <v>0</v>
      </c>
      <c r="J108" s="43">
        <v>0</v>
      </c>
      <c r="K108" s="43">
        <v>0</v>
      </c>
      <c r="L108" s="43">
        <v>0</v>
      </c>
    </row>
    <row r="109" spans="1:12" x14ac:dyDescent="0.3">
      <c r="A109" s="92">
        <v>46009</v>
      </c>
      <c r="B109" s="8" t="s">
        <v>177</v>
      </c>
      <c r="C109" s="43">
        <v>11</v>
      </c>
      <c r="D109" s="93" t="s">
        <v>412</v>
      </c>
      <c r="E109" s="43" t="s">
        <v>86</v>
      </c>
      <c r="G109" s="43">
        <v>1</v>
      </c>
      <c r="H109" s="43">
        <v>0</v>
      </c>
      <c r="I109" s="43">
        <v>0</v>
      </c>
      <c r="J109" s="43">
        <v>0</v>
      </c>
      <c r="K109" s="43">
        <v>0</v>
      </c>
      <c r="L109" s="43">
        <v>0</v>
      </c>
    </row>
    <row r="110" spans="1:12" x14ac:dyDescent="0.3">
      <c r="A110" s="92">
        <v>46009</v>
      </c>
      <c r="B110" s="8" t="s">
        <v>177</v>
      </c>
      <c r="C110" s="43">
        <v>11</v>
      </c>
      <c r="D110" s="93" t="s">
        <v>413</v>
      </c>
      <c r="E110" s="43" t="s">
        <v>87</v>
      </c>
      <c r="F110" s="43" t="s">
        <v>410</v>
      </c>
      <c r="G110" s="43">
        <v>1</v>
      </c>
      <c r="H110" s="43">
        <v>1800</v>
      </c>
      <c r="I110" s="43">
        <v>50</v>
      </c>
      <c r="J110" s="43">
        <v>90000</v>
      </c>
      <c r="K110" s="43">
        <v>1800</v>
      </c>
      <c r="L110" s="43">
        <v>50</v>
      </c>
    </row>
    <row r="111" spans="1:12" x14ac:dyDescent="0.3">
      <c r="A111" s="92">
        <v>46009</v>
      </c>
      <c r="B111" s="8" t="s">
        <v>177</v>
      </c>
      <c r="C111" s="43">
        <v>11</v>
      </c>
      <c r="D111" s="93" t="s">
        <v>413</v>
      </c>
      <c r="E111" s="43" t="s">
        <v>88</v>
      </c>
      <c r="G111" s="43">
        <v>1</v>
      </c>
      <c r="H111" s="43">
        <v>0</v>
      </c>
      <c r="I111" s="43">
        <v>0</v>
      </c>
      <c r="J111" s="43">
        <v>0</v>
      </c>
      <c r="K111" s="43">
        <v>0</v>
      </c>
      <c r="L111" s="43">
        <v>0</v>
      </c>
    </row>
    <row r="112" spans="1:12" x14ac:dyDescent="0.3">
      <c r="A112" s="92">
        <v>46023</v>
      </c>
      <c r="B112" s="8" t="s">
        <v>177</v>
      </c>
      <c r="C112" s="43">
        <v>12</v>
      </c>
      <c r="D112" s="93" t="s">
        <v>411</v>
      </c>
      <c r="E112" s="43" t="s">
        <v>79</v>
      </c>
      <c r="F112" s="43" t="s">
        <v>178</v>
      </c>
      <c r="G112" s="43">
        <v>-1</v>
      </c>
      <c r="H112" s="43">
        <v>4000</v>
      </c>
      <c r="I112" s="43">
        <v>114.34524975514204</v>
      </c>
      <c r="J112" s="43">
        <v>457380.99902056815</v>
      </c>
      <c r="K112" s="43">
        <v>-4000</v>
      </c>
      <c r="L112" s="43">
        <v>0</v>
      </c>
    </row>
    <row r="113" spans="1:12" x14ac:dyDescent="0.3">
      <c r="A113" s="92">
        <v>46023</v>
      </c>
      <c r="B113" s="8" t="s">
        <v>177</v>
      </c>
      <c r="C113" s="43">
        <v>12</v>
      </c>
      <c r="D113" s="93" t="s">
        <v>411</v>
      </c>
      <c r="E113" s="43" t="s">
        <v>80</v>
      </c>
      <c r="G113" s="43">
        <v>-1</v>
      </c>
      <c r="H113" s="43">
        <v>0</v>
      </c>
      <c r="I113" s="43">
        <v>0</v>
      </c>
      <c r="J113" s="43">
        <v>0</v>
      </c>
      <c r="K113" s="43">
        <v>0</v>
      </c>
      <c r="L113" s="43">
        <v>0</v>
      </c>
    </row>
    <row r="114" spans="1:12" x14ac:dyDescent="0.3">
      <c r="A114" s="92">
        <v>46023</v>
      </c>
      <c r="B114" s="8" t="s">
        <v>177</v>
      </c>
      <c r="C114" s="43">
        <v>12</v>
      </c>
      <c r="D114" s="93" t="s">
        <v>411</v>
      </c>
      <c r="E114" s="43" t="s">
        <v>81</v>
      </c>
      <c r="G114" s="43">
        <v>-1</v>
      </c>
      <c r="H114" s="43">
        <v>0</v>
      </c>
      <c r="I114" s="43">
        <v>0</v>
      </c>
      <c r="J114" s="43">
        <v>0</v>
      </c>
      <c r="K114" s="43">
        <v>0</v>
      </c>
      <c r="L114" s="43">
        <v>0</v>
      </c>
    </row>
    <row r="115" spans="1:12" x14ac:dyDescent="0.3">
      <c r="A115" s="92">
        <v>46023</v>
      </c>
      <c r="B115" s="8" t="s">
        <v>177</v>
      </c>
      <c r="C115" s="43">
        <v>12</v>
      </c>
      <c r="D115" s="93" t="s">
        <v>411</v>
      </c>
      <c r="E115" s="43" t="s">
        <v>82</v>
      </c>
      <c r="G115" s="43">
        <v>-1</v>
      </c>
      <c r="H115" s="43">
        <v>0</v>
      </c>
      <c r="I115" s="43">
        <v>0</v>
      </c>
      <c r="J115" s="43">
        <v>0</v>
      </c>
      <c r="K115" s="43">
        <v>0</v>
      </c>
      <c r="L115" s="43">
        <v>0</v>
      </c>
    </row>
    <row r="116" spans="1:12" x14ac:dyDescent="0.3">
      <c r="A116" s="92">
        <v>46023</v>
      </c>
      <c r="B116" s="8" t="s">
        <v>177</v>
      </c>
      <c r="C116" s="43">
        <v>12</v>
      </c>
      <c r="D116" s="93" t="s">
        <v>411</v>
      </c>
      <c r="E116" s="43" t="s">
        <v>83</v>
      </c>
      <c r="G116" s="43">
        <v>-1</v>
      </c>
      <c r="H116" s="43">
        <v>0</v>
      </c>
      <c r="I116" s="43">
        <v>0</v>
      </c>
      <c r="J116" s="43">
        <v>0</v>
      </c>
      <c r="K116" s="43">
        <v>0</v>
      </c>
      <c r="L116" s="43">
        <v>0</v>
      </c>
    </row>
    <row r="117" spans="1:12" x14ac:dyDescent="0.3">
      <c r="A117" s="92">
        <v>46023</v>
      </c>
      <c r="B117" s="8" t="s">
        <v>177</v>
      </c>
      <c r="C117" s="43">
        <v>12</v>
      </c>
      <c r="D117" s="93" t="s">
        <v>412</v>
      </c>
      <c r="E117" s="43" t="s">
        <v>84</v>
      </c>
      <c r="F117" s="43" t="s">
        <v>409</v>
      </c>
      <c r="G117" s="43">
        <v>1</v>
      </c>
      <c r="H117" s="43">
        <v>1600</v>
      </c>
      <c r="I117" s="43">
        <v>210.86312438785509</v>
      </c>
      <c r="J117" s="43">
        <v>337380.99902056815</v>
      </c>
      <c r="K117" s="43">
        <v>1600</v>
      </c>
      <c r="L117" s="43">
        <v>320</v>
      </c>
    </row>
    <row r="118" spans="1:12" x14ac:dyDescent="0.3">
      <c r="A118" s="92">
        <v>46023</v>
      </c>
      <c r="B118" s="8" t="s">
        <v>177</v>
      </c>
      <c r="C118" s="43">
        <v>12</v>
      </c>
      <c r="D118" s="93" t="s">
        <v>412</v>
      </c>
      <c r="E118" s="43" t="s">
        <v>85</v>
      </c>
      <c r="G118" s="43">
        <v>1</v>
      </c>
      <c r="H118" s="43">
        <v>0</v>
      </c>
      <c r="I118" s="43">
        <v>0</v>
      </c>
      <c r="J118" s="43">
        <v>0</v>
      </c>
      <c r="K118" s="43">
        <v>0</v>
      </c>
      <c r="L118" s="43">
        <v>0</v>
      </c>
    </row>
    <row r="119" spans="1:12" x14ac:dyDescent="0.3">
      <c r="A119" s="92">
        <v>46023</v>
      </c>
      <c r="B119" s="8" t="s">
        <v>177</v>
      </c>
      <c r="C119" s="43">
        <v>12</v>
      </c>
      <c r="D119" s="93" t="s">
        <v>412</v>
      </c>
      <c r="E119" s="43" t="s">
        <v>86</v>
      </c>
      <c r="G119" s="43">
        <v>1</v>
      </c>
      <c r="H119" s="43">
        <v>0</v>
      </c>
      <c r="I119" s="43">
        <v>0</v>
      </c>
      <c r="J119" s="43">
        <v>0</v>
      </c>
      <c r="K119" s="43">
        <v>0</v>
      </c>
      <c r="L119" s="43">
        <v>0</v>
      </c>
    </row>
    <row r="120" spans="1:12" x14ac:dyDescent="0.3">
      <c r="A120" s="92">
        <v>46023</v>
      </c>
      <c r="B120" s="8" t="s">
        <v>177</v>
      </c>
      <c r="C120" s="43">
        <v>12</v>
      </c>
      <c r="D120" s="93" t="s">
        <v>413</v>
      </c>
      <c r="E120" s="43" t="s">
        <v>87</v>
      </c>
      <c r="F120" s="43" t="s">
        <v>410</v>
      </c>
      <c r="G120" s="43">
        <v>1</v>
      </c>
      <c r="H120" s="43">
        <v>2400</v>
      </c>
      <c r="I120" s="43">
        <v>50</v>
      </c>
      <c r="J120" s="43">
        <v>120000</v>
      </c>
      <c r="K120" s="43">
        <v>2400</v>
      </c>
      <c r="L120" s="43">
        <v>50</v>
      </c>
    </row>
    <row r="121" spans="1:12" x14ac:dyDescent="0.3">
      <c r="A121" s="92">
        <v>46023</v>
      </c>
      <c r="B121" s="8" t="s">
        <v>177</v>
      </c>
      <c r="C121" s="43">
        <v>12</v>
      </c>
      <c r="D121" s="93" t="s">
        <v>413</v>
      </c>
      <c r="E121" s="43" t="s">
        <v>88</v>
      </c>
      <c r="G121" s="43">
        <v>1</v>
      </c>
      <c r="H121" s="43">
        <v>0</v>
      </c>
      <c r="I121" s="43">
        <v>0</v>
      </c>
      <c r="J121" s="43">
        <v>0</v>
      </c>
      <c r="K121" s="43">
        <v>0</v>
      </c>
      <c r="L121" s="43">
        <v>0</v>
      </c>
    </row>
    <row r="122" spans="1:12" x14ac:dyDescent="0.3">
      <c r="A122" s="92">
        <v>46040</v>
      </c>
      <c r="B122" s="8" t="s">
        <v>186</v>
      </c>
      <c r="C122" s="43">
        <v>13</v>
      </c>
      <c r="D122" s="93" t="s">
        <v>411</v>
      </c>
      <c r="E122" s="43" t="s">
        <v>79</v>
      </c>
      <c r="F122" s="43" t="s">
        <v>178</v>
      </c>
      <c r="G122" s="43">
        <v>-1</v>
      </c>
      <c r="H122" s="43">
        <v>4500</v>
      </c>
      <c r="I122" s="43">
        <v>114.36152497808941</v>
      </c>
      <c r="J122" s="43">
        <v>514626.86240140232</v>
      </c>
      <c r="K122" s="43">
        <v>-4500</v>
      </c>
      <c r="L122" s="43">
        <v>0</v>
      </c>
    </row>
    <row r="123" spans="1:12" x14ac:dyDescent="0.3">
      <c r="A123" s="92">
        <v>46040</v>
      </c>
      <c r="B123" s="8" t="s">
        <v>186</v>
      </c>
      <c r="C123" s="43">
        <v>13</v>
      </c>
      <c r="D123" s="93" t="s">
        <v>411</v>
      </c>
      <c r="E123" s="43" t="s">
        <v>80</v>
      </c>
      <c r="G123" s="43">
        <v>-1</v>
      </c>
      <c r="H123" s="43">
        <v>0</v>
      </c>
      <c r="I123" s="43">
        <v>0</v>
      </c>
      <c r="J123" s="43">
        <v>0</v>
      </c>
      <c r="K123" s="43">
        <v>0</v>
      </c>
      <c r="L123" s="43">
        <v>0</v>
      </c>
    </row>
    <row r="124" spans="1:12" x14ac:dyDescent="0.3">
      <c r="A124" s="92">
        <v>46040</v>
      </c>
      <c r="B124" s="8" t="s">
        <v>186</v>
      </c>
      <c r="C124" s="43">
        <v>13</v>
      </c>
      <c r="D124" s="93" t="s">
        <v>411</v>
      </c>
      <c r="E124" s="43" t="s">
        <v>81</v>
      </c>
      <c r="G124" s="43">
        <v>-1</v>
      </c>
      <c r="H124" s="43">
        <v>0</v>
      </c>
      <c r="I124" s="43">
        <v>0</v>
      </c>
      <c r="J124" s="43">
        <v>0</v>
      </c>
      <c r="K124" s="43">
        <v>0</v>
      </c>
      <c r="L124" s="43">
        <v>0</v>
      </c>
    </row>
    <row r="125" spans="1:12" x14ac:dyDescent="0.3">
      <c r="A125" s="92">
        <v>46040</v>
      </c>
      <c r="B125" s="8" t="s">
        <v>186</v>
      </c>
      <c r="C125" s="43">
        <v>13</v>
      </c>
      <c r="D125" s="93" t="s">
        <v>411</v>
      </c>
      <c r="E125" s="43" t="s">
        <v>82</v>
      </c>
      <c r="G125" s="43">
        <v>-1</v>
      </c>
      <c r="H125" s="43">
        <v>0</v>
      </c>
      <c r="I125" s="43">
        <v>0</v>
      </c>
      <c r="J125" s="43">
        <v>0</v>
      </c>
      <c r="K125" s="43">
        <v>0</v>
      </c>
      <c r="L125" s="43">
        <v>0</v>
      </c>
    </row>
    <row r="126" spans="1:12" x14ac:dyDescent="0.3">
      <c r="A126" s="92">
        <v>46040</v>
      </c>
      <c r="B126" s="8" t="s">
        <v>186</v>
      </c>
      <c r="C126" s="43">
        <v>13</v>
      </c>
      <c r="D126" s="93" t="s">
        <v>411</v>
      </c>
      <c r="E126" s="43" t="s">
        <v>83</v>
      </c>
      <c r="G126" s="43">
        <v>-1</v>
      </c>
      <c r="H126" s="43">
        <v>0</v>
      </c>
      <c r="I126" s="43">
        <v>0</v>
      </c>
      <c r="J126" s="43">
        <v>0</v>
      </c>
      <c r="K126" s="43">
        <v>0</v>
      </c>
      <c r="L126" s="43">
        <v>0</v>
      </c>
    </row>
    <row r="127" spans="1:12" x14ac:dyDescent="0.3">
      <c r="A127" s="92">
        <v>46040</v>
      </c>
      <c r="B127" s="8" t="s">
        <v>186</v>
      </c>
      <c r="C127" s="43">
        <v>13</v>
      </c>
      <c r="D127" s="93" t="s">
        <v>412</v>
      </c>
      <c r="E127" s="43" t="s">
        <v>84</v>
      </c>
      <c r="F127" s="43" t="s">
        <v>409</v>
      </c>
      <c r="G127" s="43">
        <v>1</v>
      </c>
      <c r="H127" s="43">
        <v>1800</v>
      </c>
      <c r="I127" s="43">
        <v>210.90381244522351</v>
      </c>
      <c r="J127" s="43">
        <v>379626.86240140232</v>
      </c>
      <c r="K127" s="43">
        <v>1800</v>
      </c>
      <c r="L127" s="43">
        <v>320</v>
      </c>
    </row>
    <row r="128" spans="1:12" x14ac:dyDescent="0.3">
      <c r="A128" s="92">
        <v>46040</v>
      </c>
      <c r="B128" s="8" t="s">
        <v>186</v>
      </c>
      <c r="C128" s="43">
        <v>13</v>
      </c>
      <c r="D128" s="93" t="s">
        <v>412</v>
      </c>
      <c r="E128" s="43" t="s">
        <v>85</v>
      </c>
      <c r="G128" s="43">
        <v>1</v>
      </c>
      <c r="H128" s="43">
        <v>0</v>
      </c>
      <c r="I128" s="43">
        <v>0</v>
      </c>
      <c r="J128" s="43">
        <v>0</v>
      </c>
      <c r="K128" s="43">
        <v>0</v>
      </c>
      <c r="L128" s="43">
        <v>0</v>
      </c>
    </row>
    <row r="129" spans="1:12" x14ac:dyDescent="0.3">
      <c r="A129" s="92">
        <v>46040</v>
      </c>
      <c r="B129" s="8" t="s">
        <v>186</v>
      </c>
      <c r="C129" s="43">
        <v>13</v>
      </c>
      <c r="D129" s="93" t="s">
        <v>412</v>
      </c>
      <c r="E129" s="43" t="s">
        <v>86</v>
      </c>
      <c r="G129" s="43">
        <v>1</v>
      </c>
      <c r="H129" s="43">
        <v>0</v>
      </c>
      <c r="I129" s="43">
        <v>0</v>
      </c>
      <c r="J129" s="43">
        <v>0</v>
      </c>
      <c r="K129" s="43">
        <v>0</v>
      </c>
      <c r="L129" s="43">
        <v>0</v>
      </c>
    </row>
    <row r="130" spans="1:12" x14ac:dyDescent="0.3">
      <c r="A130" s="92">
        <v>46040</v>
      </c>
      <c r="B130" s="8" t="s">
        <v>186</v>
      </c>
      <c r="C130" s="43">
        <v>13</v>
      </c>
      <c r="D130" s="93" t="s">
        <v>413</v>
      </c>
      <c r="E130" s="43" t="s">
        <v>87</v>
      </c>
      <c r="F130" s="43" t="s">
        <v>410</v>
      </c>
      <c r="G130" s="43">
        <v>1</v>
      </c>
      <c r="H130" s="43">
        <v>2700</v>
      </c>
      <c r="I130" s="43">
        <v>50</v>
      </c>
      <c r="J130" s="43">
        <v>135000</v>
      </c>
      <c r="K130" s="43">
        <v>2700</v>
      </c>
      <c r="L130" s="43">
        <v>50</v>
      </c>
    </row>
    <row r="131" spans="1:12" x14ac:dyDescent="0.3">
      <c r="A131" s="92">
        <v>46040</v>
      </c>
      <c r="B131" s="8" t="s">
        <v>186</v>
      </c>
      <c r="C131" s="43">
        <v>13</v>
      </c>
      <c r="D131" s="93" t="s">
        <v>413</v>
      </c>
      <c r="E131" s="43" t="s">
        <v>88</v>
      </c>
      <c r="G131" s="43">
        <v>1</v>
      </c>
      <c r="H131" s="43">
        <v>0</v>
      </c>
      <c r="I131" s="43">
        <v>0</v>
      </c>
      <c r="J131" s="43">
        <v>0</v>
      </c>
      <c r="K131" s="43">
        <v>0</v>
      </c>
      <c r="L131" s="43">
        <v>0</v>
      </c>
    </row>
    <row r="132" spans="1:12" x14ac:dyDescent="0.3">
      <c r="A132" s="92">
        <v>46054</v>
      </c>
      <c r="B132" s="8" t="s">
        <v>186</v>
      </c>
      <c r="C132" s="43">
        <v>14</v>
      </c>
      <c r="D132" s="93" t="s">
        <v>411</v>
      </c>
      <c r="E132" s="43" t="s">
        <v>79</v>
      </c>
      <c r="F132" s="43" t="s">
        <v>178</v>
      </c>
      <c r="G132" s="43">
        <v>-1</v>
      </c>
      <c r="H132" s="43">
        <v>3000</v>
      </c>
      <c r="I132" s="43">
        <v>113.29031165311656</v>
      </c>
      <c r="J132" s="43">
        <v>339870.93495934969</v>
      </c>
      <c r="K132" s="43">
        <v>-3000</v>
      </c>
      <c r="L132" s="43">
        <v>0</v>
      </c>
    </row>
    <row r="133" spans="1:12" x14ac:dyDescent="0.3">
      <c r="A133" s="92">
        <v>46054</v>
      </c>
      <c r="B133" s="8" t="s">
        <v>186</v>
      </c>
      <c r="C133" s="43">
        <v>14</v>
      </c>
      <c r="D133" s="93" t="s">
        <v>411</v>
      </c>
      <c r="E133" s="43" t="s">
        <v>80</v>
      </c>
      <c r="G133" s="43">
        <v>-1</v>
      </c>
      <c r="H133" s="43">
        <v>0</v>
      </c>
      <c r="I133" s="43">
        <v>0</v>
      </c>
      <c r="J133" s="43">
        <v>0</v>
      </c>
      <c r="K133" s="43">
        <v>0</v>
      </c>
      <c r="L133" s="43">
        <v>0</v>
      </c>
    </row>
    <row r="134" spans="1:12" x14ac:dyDescent="0.3">
      <c r="A134" s="92">
        <v>46054</v>
      </c>
      <c r="B134" s="8" t="s">
        <v>186</v>
      </c>
      <c r="C134" s="43">
        <v>14</v>
      </c>
      <c r="D134" s="93" t="s">
        <v>411</v>
      </c>
      <c r="E134" s="43" t="s">
        <v>81</v>
      </c>
      <c r="G134" s="43">
        <v>-1</v>
      </c>
      <c r="H134" s="43">
        <v>0</v>
      </c>
      <c r="I134" s="43">
        <v>0</v>
      </c>
      <c r="J134" s="43">
        <v>0</v>
      </c>
      <c r="K134" s="43">
        <v>0</v>
      </c>
      <c r="L134" s="43">
        <v>0</v>
      </c>
    </row>
    <row r="135" spans="1:12" x14ac:dyDescent="0.3">
      <c r="A135" s="92">
        <v>46054</v>
      </c>
      <c r="B135" s="8" t="s">
        <v>186</v>
      </c>
      <c r="C135" s="43">
        <v>14</v>
      </c>
      <c r="D135" s="93" t="s">
        <v>411</v>
      </c>
      <c r="E135" s="43" t="s">
        <v>82</v>
      </c>
      <c r="G135" s="43">
        <v>-1</v>
      </c>
      <c r="H135" s="43">
        <v>0</v>
      </c>
      <c r="I135" s="43">
        <v>0</v>
      </c>
      <c r="J135" s="43">
        <v>0</v>
      </c>
      <c r="K135" s="43">
        <v>0</v>
      </c>
      <c r="L135" s="43">
        <v>0</v>
      </c>
    </row>
    <row r="136" spans="1:12" x14ac:dyDescent="0.3">
      <c r="A136" s="92">
        <v>46054</v>
      </c>
      <c r="B136" s="8" t="s">
        <v>186</v>
      </c>
      <c r="C136" s="43">
        <v>14</v>
      </c>
      <c r="D136" s="93" t="s">
        <v>411</v>
      </c>
      <c r="E136" s="43" t="s">
        <v>83</v>
      </c>
      <c r="G136" s="43">
        <v>-1</v>
      </c>
      <c r="H136" s="43">
        <v>0</v>
      </c>
      <c r="I136" s="43">
        <v>0</v>
      </c>
      <c r="J136" s="43">
        <v>0</v>
      </c>
      <c r="K136" s="43">
        <v>0</v>
      </c>
      <c r="L136" s="43">
        <v>0</v>
      </c>
    </row>
    <row r="137" spans="1:12" x14ac:dyDescent="0.3">
      <c r="A137" s="92">
        <v>46054</v>
      </c>
      <c r="B137" s="8" t="s">
        <v>186</v>
      </c>
      <c r="C137" s="43">
        <v>14</v>
      </c>
      <c r="D137" s="93" t="s">
        <v>412</v>
      </c>
      <c r="E137" s="43" t="s">
        <v>84</v>
      </c>
      <c r="F137" s="43" t="s">
        <v>409</v>
      </c>
      <c r="G137" s="43">
        <v>1</v>
      </c>
      <c r="H137" s="43">
        <v>1200</v>
      </c>
      <c r="I137" s="43">
        <v>208.22577913279142</v>
      </c>
      <c r="J137" s="43">
        <v>249870.93495934969</v>
      </c>
      <c r="K137" s="43">
        <v>1200</v>
      </c>
      <c r="L137" s="43">
        <v>320</v>
      </c>
    </row>
    <row r="138" spans="1:12" x14ac:dyDescent="0.3">
      <c r="A138" s="92">
        <v>46054</v>
      </c>
      <c r="B138" s="8" t="s">
        <v>186</v>
      </c>
      <c r="C138" s="43">
        <v>14</v>
      </c>
      <c r="D138" s="93" t="s">
        <v>412</v>
      </c>
      <c r="E138" s="43" t="s">
        <v>85</v>
      </c>
      <c r="G138" s="43">
        <v>1</v>
      </c>
      <c r="H138" s="43">
        <v>0</v>
      </c>
      <c r="I138" s="43">
        <v>0</v>
      </c>
      <c r="J138" s="43">
        <v>0</v>
      </c>
      <c r="K138" s="43">
        <v>0</v>
      </c>
      <c r="L138" s="43">
        <v>0</v>
      </c>
    </row>
    <row r="139" spans="1:12" x14ac:dyDescent="0.3">
      <c r="A139" s="92">
        <v>46054</v>
      </c>
      <c r="B139" s="8" t="s">
        <v>186</v>
      </c>
      <c r="C139" s="43">
        <v>14</v>
      </c>
      <c r="D139" s="93" t="s">
        <v>412</v>
      </c>
      <c r="E139" s="43" t="s">
        <v>86</v>
      </c>
      <c r="G139" s="43">
        <v>1</v>
      </c>
      <c r="H139" s="43">
        <v>0</v>
      </c>
      <c r="I139" s="43">
        <v>0</v>
      </c>
      <c r="J139" s="43">
        <v>0</v>
      </c>
      <c r="K139" s="43">
        <v>0</v>
      </c>
      <c r="L139" s="43">
        <v>0</v>
      </c>
    </row>
    <row r="140" spans="1:12" x14ac:dyDescent="0.3">
      <c r="A140" s="92">
        <v>46054</v>
      </c>
      <c r="B140" s="8" t="s">
        <v>186</v>
      </c>
      <c r="C140" s="43">
        <v>14</v>
      </c>
      <c r="D140" s="93" t="s">
        <v>413</v>
      </c>
      <c r="E140" s="43" t="s">
        <v>87</v>
      </c>
      <c r="F140" s="43" t="s">
        <v>410</v>
      </c>
      <c r="G140" s="43">
        <v>1</v>
      </c>
      <c r="H140" s="43">
        <v>1800</v>
      </c>
      <c r="I140" s="43">
        <v>50</v>
      </c>
      <c r="J140" s="43">
        <v>90000</v>
      </c>
      <c r="K140" s="43">
        <v>1800</v>
      </c>
      <c r="L140" s="43">
        <v>50</v>
      </c>
    </row>
    <row r="141" spans="1:12" x14ac:dyDescent="0.3">
      <c r="A141" s="92">
        <v>46054</v>
      </c>
      <c r="B141" s="8" t="s">
        <v>186</v>
      </c>
      <c r="C141" s="43">
        <v>14</v>
      </c>
      <c r="D141" s="93" t="s">
        <v>413</v>
      </c>
      <c r="E141" s="43" t="s">
        <v>88</v>
      </c>
      <c r="G141" s="43">
        <v>1</v>
      </c>
      <c r="H141" s="43">
        <v>0</v>
      </c>
      <c r="I141" s="43">
        <v>0</v>
      </c>
      <c r="J141" s="43">
        <v>0</v>
      </c>
      <c r="K141" s="43">
        <v>0</v>
      </c>
      <c r="L141" s="43">
        <v>0</v>
      </c>
    </row>
    <row r="142" spans="1:12" x14ac:dyDescent="0.3">
      <c r="A142" s="92">
        <v>46071</v>
      </c>
      <c r="B142" s="8" t="s">
        <v>205</v>
      </c>
      <c r="C142" s="43">
        <v>15</v>
      </c>
      <c r="D142" s="93" t="s">
        <v>411</v>
      </c>
      <c r="E142" s="43" t="s">
        <v>79</v>
      </c>
      <c r="F142" s="43" t="s">
        <v>178</v>
      </c>
      <c r="G142" s="43">
        <v>-1</v>
      </c>
      <c r="H142" s="43">
        <v>2400</v>
      </c>
      <c r="I142" s="43">
        <v>113.16178385416664</v>
      </c>
      <c r="J142" s="43">
        <v>271588.28124999994</v>
      </c>
      <c r="K142" s="43">
        <v>-2400</v>
      </c>
      <c r="L142" s="43">
        <v>0</v>
      </c>
    </row>
    <row r="143" spans="1:12" x14ac:dyDescent="0.3">
      <c r="A143" s="92">
        <v>46071</v>
      </c>
      <c r="B143" s="8" t="s">
        <v>205</v>
      </c>
      <c r="C143" s="43">
        <v>15</v>
      </c>
      <c r="D143" s="93" t="s">
        <v>411</v>
      </c>
      <c r="E143" s="43" t="s">
        <v>80</v>
      </c>
      <c r="G143" s="43">
        <v>-1</v>
      </c>
      <c r="H143" s="43">
        <v>0</v>
      </c>
      <c r="I143" s="43">
        <v>0</v>
      </c>
      <c r="J143" s="43">
        <v>0</v>
      </c>
      <c r="K143" s="43">
        <v>0</v>
      </c>
      <c r="L143" s="43">
        <v>0</v>
      </c>
    </row>
    <row r="144" spans="1:12" x14ac:dyDescent="0.3">
      <c r="A144" s="92">
        <v>46071</v>
      </c>
      <c r="B144" s="8" t="s">
        <v>205</v>
      </c>
      <c r="C144" s="43">
        <v>15</v>
      </c>
      <c r="D144" s="93" t="s">
        <v>411</v>
      </c>
      <c r="E144" s="43" t="s">
        <v>81</v>
      </c>
      <c r="G144" s="43">
        <v>-1</v>
      </c>
      <c r="H144" s="43">
        <v>0</v>
      </c>
      <c r="I144" s="43">
        <v>0</v>
      </c>
      <c r="J144" s="43">
        <v>0</v>
      </c>
      <c r="K144" s="43">
        <v>0</v>
      </c>
      <c r="L144" s="43">
        <v>0</v>
      </c>
    </row>
    <row r="145" spans="1:12" x14ac:dyDescent="0.3">
      <c r="A145" s="92">
        <v>46071</v>
      </c>
      <c r="B145" s="8" t="s">
        <v>205</v>
      </c>
      <c r="C145" s="43">
        <v>15</v>
      </c>
      <c r="D145" s="93" t="s">
        <v>411</v>
      </c>
      <c r="E145" s="43" t="s">
        <v>82</v>
      </c>
      <c r="G145" s="43">
        <v>-1</v>
      </c>
      <c r="H145" s="43">
        <v>0</v>
      </c>
      <c r="I145" s="43">
        <v>0</v>
      </c>
      <c r="J145" s="43">
        <v>0</v>
      </c>
      <c r="K145" s="43">
        <v>0</v>
      </c>
      <c r="L145" s="43">
        <v>0</v>
      </c>
    </row>
    <row r="146" spans="1:12" x14ac:dyDescent="0.3">
      <c r="A146" s="92">
        <v>46071</v>
      </c>
      <c r="B146" s="8" t="s">
        <v>205</v>
      </c>
      <c r="C146" s="43">
        <v>15</v>
      </c>
      <c r="D146" s="93" t="s">
        <v>411</v>
      </c>
      <c r="E146" s="43" t="s">
        <v>83</v>
      </c>
      <c r="G146" s="43">
        <v>-1</v>
      </c>
      <c r="H146" s="43">
        <v>0</v>
      </c>
      <c r="I146" s="43">
        <v>0</v>
      </c>
      <c r="J146" s="43">
        <v>0</v>
      </c>
      <c r="K146" s="43">
        <v>0</v>
      </c>
      <c r="L146" s="43">
        <v>0</v>
      </c>
    </row>
    <row r="147" spans="1:12" x14ac:dyDescent="0.3">
      <c r="A147" s="92">
        <v>46071</v>
      </c>
      <c r="B147" s="8" t="s">
        <v>205</v>
      </c>
      <c r="C147" s="43">
        <v>15</v>
      </c>
      <c r="D147" s="93" t="s">
        <v>412</v>
      </c>
      <c r="E147" s="43" t="s">
        <v>84</v>
      </c>
      <c r="F147" s="43" t="s">
        <v>409</v>
      </c>
      <c r="G147" s="43">
        <v>1</v>
      </c>
      <c r="H147" s="43">
        <v>960</v>
      </c>
      <c r="I147" s="43">
        <v>207.9044596354166</v>
      </c>
      <c r="J147" s="43">
        <v>199588.28124999994</v>
      </c>
      <c r="K147" s="43">
        <v>960</v>
      </c>
      <c r="L147" s="43">
        <v>320</v>
      </c>
    </row>
    <row r="148" spans="1:12" x14ac:dyDescent="0.3">
      <c r="A148" s="92">
        <v>46071</v>
      </c>
      <c r="B148" s="8" t="s">
        <v>205</v>
      </c>
      <c r="C148" s="43">
        <v>15</v>
      </c>
      <c r="D148" s="93" t="s">
        <v>412</v>
      </c>
      <c r="E148" s="43" t="s">
        <v>85</v>
      </c>
      <c r="G148" s="43">
        <v>1</v>
      </c>
      <c r="H148" s="43">
        <v>0</v>
      </c>
      <c r="I148" s="43">
        <v>0</v>
      </c>
      <c r="J148" s="43">
        <v>0</v>
      </c>
      <c r="K148" s="43">
        <v>0</v>
      </c>
      <c r="L148" s="43">
        <v>0</v>
      </c>
    </row>
    <row r="149" spans="1:12" x14ac:dyDescent="0.3">
      <c r="A149" s="92">
        <v>46071</v>
      </c>
      <c r="B149" s="8" t="s">
        <v>205</v>
      </c>
      <c r="C149" s="43">
        <v>15</v>
      </c>
      <c r="D149" s="93" t="s">
        <v>412</v>
      </c>
      <c r="E149" s="43" t="s">
        <v>86</v>
      </c>
      <c r="G149" s="43">
        <v>1</v>
      </c>
      <c r="H149" s="43">
        <v>0</v>
      </c>
      <c r="I149" s="43">
        <v>0</v>
      </c>
      <c r="J149" s="43">
        <v>0</v>
      </c>
      <c r="K149" s="43">
        <v>0</v>
      </c>
      <c r="L149" s="43">
        <v>0</v>
      </c>
    </row>
    <row r="150" spans="1:12" x14ac:dyDescent="0.3">
      <c r="A150" s="92">
        <v>46071</v>
      </c>
      <c r="B150" s="8" t="s">
        <v>205</v>
      </c>
      <c r="C150" s="43">
        <v>15</v>
      </c>
      <c r="D150" s="93" t="s">
        <v>413</v>
      </c>
      <c r="E150" s="43" t="s">
        <v>87</v>
      </c>
      <c r="F150" s="43" t="s">
        <v>410</v>
      </c>
      <c r="G150" s="43">
        <v>1</v>
      </c>
      <c r="H150" s="43">
        <v>1440</v>
      </c>
      <c r="I150" s="43">
        <v>50</v>
      </c>
      <c r="J150" s="43">
        <v>72000</v>
      </c>
      <c r="K150" s="43">
        <v>1440</v>
      </c>
      <c r="L150" s="43">
        <v>50</v>
      </c>
    </row>
    <row r="151" spans="1:12" x14ac:dyDescent="0.3">
      <c r="A151" s="92">
        <v>46071</v>
      </c>
      <c r="B151" s="8" t="s">
        <v>205</v>
      </c>
      <c r="C151" s="43">
        <v>15</v>
      </c>
      <c r="D151" s="93" t="s">
        <v>413</v>
      </c>
      <c r="E151" s="43" t="s">
        <v>88</v>
      </c>
      <c r="G151" s="43">
        <v>1</v>
      </c>
      <c r="H151" s="43">
        <v>0</v>
      </c>
      <c r="I151" s="43">
        <v>0</v>
      </c>
      <c r="J151" s="43">
        <v>0</v>
      </c>
      <c r="K151" s="43">
        <v>0</v>
      </c>
      <c r="L151" s="43">
        <v>0</v>
      </c>
    </row>
    <row r="152" spans="1:12" x14ac:dyDescent="0.3">
      <c r="A152" s="92">
        <v>46082</v>
      </c>
      <c r="B152" s="8" t="s">
        <v>205</v>
      </c>
      <c r="C152" s="43">
        <v>16</v>
      </c>
      <c r="D152" s="93" t="s">
        <v>411</v>
      </c>
      <c r="E152" s="43" t="s">
        <v>79</v>
      </c>
      <c r="F152" s="43" t="s">
        <v>178</v>
      </c>
      <c r="G152" s="43">
        <v>-1</v>
      </c>
      <c r="H152" s="43">
        <v>3000</v>
      </c>
      <c r="I152" s="43">
        <v>113.11810776942353</v>
      </c>
      <c r="J152" s="43">
        <v>339354.3233082706</v>
      </c>
      <c r="K152" s="43">
        <v>-3000</v>
      </c>
      <c r="L152" s="43">
        <v>0</v>
      </c>
    </row>
    <row r="153" spans="1:12" x14ac:dyDescent="0.3">
      <c r="A153" s="92">
        <v>46082</v>
      </c>
      <c r="B153" s="8" t="s">
        <v>205</v>
      </c>
      <c r="C153" s="43">
        <v>16</v>
      </c>
      <c r="D153" s="93" t="s">
        <v>411</v>
      </c>
      <c r="E153" s="43" t="s">
        <v>80</v>
      </c>
      <c r="G153" s="43">
        <v>-1</v>
      </c>
      <c r="H153" s="43">
        <v>0</v>
      </c>
      <c r="I153" s="43">
        <v>0</v>
      </c>
      <c r="J153" s="43">
        <v>0</v>
      </c>
      <c r="K153" s="43">
        <v>0</v>
      </c>
      <c r="L153" s="43">
        <v>0</v>
      </c>
    </row>
    <row r="154" spans="1:12" x14ac:dyDescent="0.3">
      <c r="A154" s="92">
        <v>46082</v>
      </c>
      <c r="B154" s="8" t="s">
        <v>205</v>
      </c>
      <c r="C154" s="43">
        <v>16</v>
      </c>
      <c r="D154" s="93" t="s">
        <v>411</v>
      </c>
      <c r="E154" s="43" t="s">
        <v>81</v>
      </c>
      <c r="G154" s="43">
        <v>-1</v>
      </c>
      <c r="H154" s="43">
        <v>0</v>
      </c>
      <c r="I154" s="43">
        <v>0</v>
      </c>
      <c r="J154" s="43">
        <v>0</v>
      </c>
      <c r="K154" s="43">
        <v>0</v>
      </c>
      <c r="L154" s="43">
        <v>0</v>
      </c>
    </row>
    <row r="155" spans="1:12" x14ac:dyDescent="0.3">
      <c r="A155" s="92">
        <v>46082</v>
      </c>
      <c r="B155" s="8" t="s">
        <v>205</v>
      </c>
      <c r="C155" s="43">
        <v>16</v>
      </c>
      <c r="D155" s="93" t="s">
        <v>411</v>
      </c>
      <c r="E155" s="43" t="s">
        <v>82</v>
      </c>
      <c r="G155" s="43">
        <v>-1</v>
      </c>
      <c r="H155" s="43">
        <v>0</v>
      </c>
      <c r="I155" s="43">
        <v>0</v>
      </c>
      <c r="J155" s="43">
        <v>0</v>
      </c>
      <c r="K155" s="43">
        <v>0</v>
      </c>
      <c r="L155" s="43">
        <v>0</v>
      </c>
    </row>
    <row r="156" spans="1:12" x14ac:dyDescent="0.3">
      <c r="A156" s="92">
        <v>46082</v>
      </c>
      <c r="B156" s="8" t="s">
        <v>205</v>
      </c>
      <c r="C156" s="43">
        <v>16</v>
      </c>
      <c r="D156" s="93" t="s">
        <v>411</v>
      </c>
      <c r="E156" s="43" t="s">
        <v>83</v>
      </c>
      <c r="G156" s="43">
        <v>-1</v>
      </c>
      <c r="H156" s="43">
        <v>0</v>
      </c>
      <c r="I156" s="43">
        <v>0</v>
      </c>
      <c r="J156" s="43">
        <v>0</v>
      </c>
      <c r="K156" s="43">
        <v>0</v>
      </c>
      <c r="L156" s="43">
        <v>0</v>
      </c>
    </row>
    <row r="157" spans="1:12" x14ac:dyDescent="0.3">
      <c r="A157" s="92">
        <v>46082</v>
      </c>
      <c r="B157" s="8" t="s">
        <v>205</v>
      </c>
      <c r="C157" s="43">
        <v>16</v>
      </c>
      <c r="D157" s="93" t="s">
        <v>412</v>
      </c>
      <c r="E157" s="43" t="s">
        <v>84</v>
      </c>
      <c r="F157" s="43" t="s">
        <v>409</v>
      </c>
      <c r="G157" s="43">
        <v>1</v>
      </c>
      <c r="H157" s="43">
        <v>1200</v>
      </c>
      <c r="I157" s="43">
        <v>207.79526942355884</v>
      </c>
      <c r="J157" s="43">
        <v>249354.3233082706</v>
      </c>
      <c r="K157" s="43">
        <v>1200</v>
      </c>
      <c r="L157" s="43">
        <v>320</v>
      </c>
    </row>
    <row r="158" spans="1:12" x14ac:dyDescent="0.3">
      <c r="A158" s="92">
        <v>46082</v>
      </c>
      <c r="B158" s="8" t="s">
        <v>205</v>
      </c>
      <c r="C158" s="43">
        <v>16</v>
      </c>
      <c r="D158" s="93" t="s">
        <v>412</v>
      </c>
      <c r="E158" s="43" t="s">
        <v>85</v>
      </c>
      <c r="G158" s="43">
        <v>1</v>
      </c>
      <c r="H158" s="43">
        <v>0</v>
      </c>
      <c r="I158" s="43">
        <v>0</v>
      </c>
      <c r="J158" s="43">
        <v>0</v>
      </c>
      <c r="K158" s="43">
        <v>0</v>
      </c>
      <c r="L158" s="43">
        <v>0</v>
      </c>
    </row>
    <row r="159" spans="1:12" x14ac:dyDescent="0.3">
      <c r="A159" s="92">
        <v>46082</v>
      </c>
      <c r="B159" s="8" t="s">
        <v>205</v>
      </c>
      <c r="C159" s="43">
        <v>16</v>
      </c>
      <c r="D159" s="93" t="s">
        <v>412</v>
      </c>
      <c r="E159" s="43" t="s">
        <v>86</v>
      </c>
      <c r="G159" s="43">
        <v>1</v>
      </c>
      <c r="H159" s="43">
        <v>0</v>
      </c>
      <c r="I159" s="43">
        <v>0</v>
      </c>
      <c r="J159" s="43">
        <v>0</v>
      </c>
      <c r="K159" s="43">
        <v>0</v>
      </c>
      <c r="L159" s="43">
        <v>0</v>
      </c>
    </row>
    <row r="160" spans="1:12" x14ac:dyDescent="0.3">
      <c r="A160" s="92">
        <v>46082</v>
      </c>
      <c r="B160" s="8" t="s">
        <v>205</v>
      </c>
      <c r="C160" s="43">
        <v>16</v>
      </c>
      <c r="D160" s="93" t="s">
        <v>413</v>
      </c>
      <c r="E160" s="43" t="s">
        <v>87</v>
      </c>
      <c r="F160" s="43" t="s">
        <v>410</v>
      </c>
      <c r="G160" s="43">
        <v>1</v>
      </c>
      <c r="H160" s="43">
        <v>1800</v>
      </c>
      <c r="I160" s="43">
        <v>50</v>
      </c>
      <c r="J160" s="43">
        <v>90000</v>
      </c>
      <c r="K160" s="43">
        <v>1800</v>
      </c>
      <c r="L160" s="43">
        <v>50</v>
      </c>
    </row>
    <row r="161" spans="1:12" x14ac:dyDescent="0.3">
      <c r="A161" s="92">
        <v>46082</v>
      </c>
      <c r="B161" s="8" t="s">
        <v>205</v>
      </c>
      <c r="C161" s="43">
        <v>16</v>
      </c>
      <c r="D161" s="93" t="s">
        <v>413</v>
      </c>
      <c r="E161" s="43" t="s">
        <v>88</v>
      </c>
      <c r="G161" s="43">
        <v>1</v>
      </c>
      <c r="H161" s="43">
        <v>0</v>
      </c>
      <c r="I161" s="43">
        <v>0</v>
      </c>
      <c r="J161" s="43">
        <v>0</v>
      </c>
      <c r="K161" s="43">
        <v>0</v>
      </c>
      <c r="L161" s="43">
        <v>0</v>
      </c>
    </row>
    <row r="162" spans="1:12" x14ac:dyDescent="0.3">
      <c r="A162" s="92">
        <v>46099</v>
      </c>
      <c r="B162" s="8" t="s">
        <v>227</v>
      </c>
      <c r="C162" s="43">
        <v>17</v>
      </c>
      <c r="D162" s="93" t="s">
        <v>411</v>
      </c>
      <c r="E162" s="43" t="s">
        <v>79</v>
      </c>
      <c r="F162" s="43" t="s">
        <v>178</v>
      </c>
      <c r="G162" s="43">
        <v>-1</v>
      </c>
      <c r="H162" s="43">
        <v>2400</v>
      </c>
      <c r="I162" s="43">
        <v>112.70073198198199</v>
      </c>
      <c r="J162" s="43">
        <v>270481.75675675675</v>
      </c>
      <c r="K162" s="43">
        <v>-2400</v>
      </c>
      <c r="L162" s="43">
        <v>0</v>
      </c>
    </row>
    <row r="163" spans="1:12" x14ac:dyDescent="0.3">
      <c r="A163" s="92">
        <v>46099</v>
      </c>
      <c r="B163" s="8" t="s">
        <v>227</v>
      </c>
      <c r="C163" s="43">
        <v>17</v>
      </c>
      <c r="D163" s="93" t="s">
        <v>411</v>
      </c>
      <c r="E163" s="43" t="s">
        <v>80</v>
      </c>
      <c r="G163" s="43">
        <v>-1</v>
      </c>
      <c r="H163" s="43">
        <v>0</v>
      </c>
      <c r="I163" s="43">
        <v>0</v>
      </c>
      <c r="J163" s="43">
        <v>0</v>
      </c>
      <c r="K163" s="43">
        <v>0</v>
      </c>
      <c r="L163" s="43">
        <v>0</v>
      </c>
    </row>
    <row r="164" spans="1:12" x14ac:dyDescent="0.3">
      <c r="A164" s="92">
        <v>46099</v>
      </c>
      <c r="B164" s="8" t="s">
        <v>227</v>
      </c>
      <c r="C164" s="43">
        <v>17</v>
      </c>
      <c r="D164" s="93" t="s">
        <v>411</v>
      </c>
      <c r="E164" s="43" t="s">
        <v>81</v>
      </c>
      <c r="G164" s="43">
        <v>-1</v>
      </c>
      <c r="H164" s="43">
        <v>0</v>
      </c>
      <c r="I164" s="43">
        <v>0</v>
      </c>
      <c r="J164" s="43">
        <v>0</v>
      </c>
      <c r="K164" s="43">
        <v>0</v>
      </c>
      <c r="L164" s="43">
        <v>0</v>
      </c>
    </row>
    <row r="165" spans="1:12" x14ac:dyDescent="0.3">
      <c r="A165" s="92">
        <v>46099</v>
      </c>
      <c r="B165" s="8" t="s">
        <v>227</v>
      </c>
      <c r="C165" s="43">
        <v>17</v>
      </c>
      <c r="D165" s="93" t="s">
        <v>411</v>
      </c>
      <c r="E165" s="43" t="s">
        <v>82</v>
      </c>
      <c r="G165" s="43">
        <v>-1</v>
      </c>
      <c r="H165" s="43">
        <v>0</v>
      </c>
      <c r="I165" s="43">
        <v>0</v>
      </c>
      <c r="J165" s="43">
        <v>0</v>
      </c>
      <c r="K165" s="43">
        <v>0</v>
      </c>
      <c r="L165" s="43">
        <v>0</v>
      </c>
    </row>
    <row r="166" spans="1:12" x14ac:dyDescent="0.3">
      <c r="A166" s="92">
        <v>46099</v>
      </c>
      <c r="B166" s="8" t="s">
        <v>227</v>
      </c>
      <c r="C166" s="43">
        <v>17</v>
      </c>
      <c r="D166" s="93" t="s">
        <v>411</v>
      </c>
      <c r="E166" s="43" t="s">
        <v>83</v>
      </c>
      <c r="G166" s="43">
        <v>-1</v>
      </c>
      <c r="H166" s="43">
        <v>0</v>
      </c>
      <c r="I166" s="43">
        <v>0</v>
      </c>
      <c r="J166" s="43">
        <v>0</v>
      </c>
      <c r="K166" s="43">
        <v>0</v>
      </c>
      <c r="L166" s="43">
        <v>0</v>
      </c>
    </row>
    <row r="167" spans="1:12" x14ac:dyDescent="0.3">
      <c r="A167" s="92">
        <v>46099</v>
      </c>
      <c r="B167" s="8" t="s">
        <v>227</v>
      </c>
      <c r="C167" s="43">
        <v>17</v>
      </c>
      <c r="D167" s="93" t="s">
        <v>412</v>
      </c>
      <c r="E167" s="43" t="s">
        <v>84</v>
      </c>
      <c r="F167" s="43" t="s">
        <v>409</v>
      </c>
      <c r="G167" s="43">
        <v>1</v>
      </c>
      <c r="H167" s="43">
        <v>960</v>
      </c>
      <c r="I167" s="43">
        <v>206.75182995495496</v>
      </c>
      <c r="J167" s="43">
        <v>198481.75675675675</v>
      </c>
      <c r="K167" s="43">
        <v>960</v>
      </c>
      <c r="L167" s="43">
        <v>320</v>
      </c>
    </row>
    <row r="168" spans="1:12" x14ac:dyDescent="0.3">
      <c r="A168" s="92">
        <v>46099</v>
      </c>
      <c r="B168" s="8" t="s">
        <v>227</v>
      </c>
      <c r="C168" s="43">
        <v>17</v>
      </c>
      <c r="D168" s="93" t="s">
        <v>412</v>
      </c>
      <c r="E168" s="43" t="s">
        <v>85</v>
      </c>
      <c r="G168" s="43">
        <v>1</v>
      </c>
      <c r="H168" s="43">
        <v>0</v>
      </c>
      <c r="I168" s="43">
        <v>0</v>
      </c>
      <c r="J168" s="43">
        <v>0</v>
      </c>
      <c r="K168" s="43">
        <v>0</v>
      </c>
      <c r="L168" s="43">
        <v>0</v>
      </c>
    </row>
    <row r="169" spans="1:12" x14ac:dyDescent="0.3">
      <c r="A169" s="92">
        <v>46099</v>
      </c>
      <c r="B169" s="8" t="s">
        <v>227</v>
      </c>
      <c r="C169" s="43">
        <v>17</v>
      </c>
      <c r="D169" s="93" t="s">
        <v>412</v>
      </c>
      <c r="E169" s="43" t="s">
        <v>86</v>
      </c>
      <c r="G169" s="43">
        <v>1</v>
      </c>
      <c r="H169" s="43">
        <v>0</v>
      </c>
      <c r="I169" s="43">
        <v>0</v>
      </c>
      <c r="J169" s="43">
        <v>0</v>
      </c>
      <c r="K169" s="43">
        <v>0</v>
      </c>
      <c r="L169" s="43">
        <v>0</v>
      </c>
    </row>
    <row r="170" spans="1:12" x14ac:dyDescent="0.3">
      <c r="A170" s="92">
        <v>46099</v>
      </c>
      <c r="B170" s="8" t="s">
        <v>227</v>
      </c>
      <c r="C170" s="43">
        <v>17</v>
      </c>
      <c r="D170" s="93" t="s">
        <v>413</v>
      </c>
      <c r="E170" s="43" t="s">
        <v>87</v>
      </c>
      <c r="F170" s="43" t="s">
        <v>410</v>
      </c>
      <c r="G170" s="43">
        <v>1</v>
      </c>
      <c r="H170" s="43">
        <v>1440</v>
      </c>
      <c r="I170" s="43">
        <v>50</v>
      </c>
      <c r="J170" s="43">
        <v>72000</v>
      </c>
      <c r="K170" s="43">
        <v>1440</v>
      </c>
      <c r="L170" s="43">
        <v>50</v>
      </c>
    </row>
    <row r="171" spans="1:12" x14ac:dyDescent="0.3">
      <c r="A171" s="92">
        <v>46099</v>
      </c>
      <c r="B171" s="8" t="s">
        <v>227</v>
      </c>
      <c r="C171" s="43">
        <v>17</v>
      </c>
      <c r="D171" s="93" t="s">
        <v>413</v>
      </c>
      <c r="E171" s="43" t="s">
        <v>88</v>
      </c>
      <c r="G171" s="43">
        <v>1</v>
      </c>
      <c r="H171" s="43">
        <v>0</v>
      </c>
      <c r="I171" s="43">
        <v>0</v>
      </c>
      <c r="J171" s="43">
        <v>0</v>
      </c>
      <c r="K171" s="43">
        <v>0</v>
      </c>
      <c r="L171" s="43">
        <v>0</v>
      </c>
    </row>
    <row r="172" spans="1:12" x14ac:dyDescent="0.3">
      <c r="A172" s="92">
        <v>46113</v>
      </c>
      <c r="B172" s="8" t="s">
        <v>227</v>
      </c>
      <c r="C172" s="43">
        <v>18</v>
      </c>
      <c r="D172" s="93" t="s">
        <v>411</v>
      </c>
      <c r="E172" s="43" t="s">
        <v>79</v>
      </c>
      <c r="F172" s="43" t="s">
        <v>178</v>
      </c>
      <c r="G172" s="43">
        <v>-1</v>
      </c>
      <c r="H172" s="43">
        <v>2500</v>
      </c>
      <c r="I172" s="43">
        <v>112.59309071729962</v>
      </c>
      <c r="J172" s="43">
        <v>281482.72679324902</v>
      </c>
      <c r="K172" s="43">
        <v>-2500</v>
      </c>
      <c r="L172" s="43">
        <v>0</v>
      </c>
    </row>
    <row r="173" spans="1:12" x14ac:dyDescent="0.3">
      <c r="A173" s="92">
        <v>46113</v>
      </c>
      <c r="B173" s="8" t="s">
        <v>227</v>
      </c>
      <c r="C173" s="43">
        <v>18</v>
      </c>
      <c r="D173" s="93" t="s">
        <v>411</v>
      </c>
      <c r="E173" s="43" t="s">
        <v>80</v>
      </c>
      <c r="G173" s="43">
        <v>-1</v>
      </c>
      <c r="H173" s="43">
        <v>0</v>
      </c>
      <c r="I173" s="43">
        <v>0</v>
      </c>
      <c r="J173" s="43">
        <v>0</v>
      </c>
      <c r="K173" s="43">
        <v>0</v>
      </c>
      <c r="L173" s="43">
        <v>0</v>
      </c>
    </row>
    <row r="174" spans="1:12" x14ac:dyDescent="0.3">
      <c r="A174" s="92">
        <v>46113</v>
      </c>
      <c r="B174" s="8" t="s">
        <v>227</v>
      </c>
      <c r="C174" s="43">
        <v>18</v>
      </c>
      <c r="D174" s="93" t="s">
        <v>411</v>
      </c>
      <c r="E174" s="43" t="s">
        <v>81</v>
      </c>
      <c r="G174" s="43">
        <v>-1</v>
      </c>
      <c r="H174" s="43">
        <v>0</v>
      </c>
      <c r="I174" s="43">
        <v>0</v>
      </c>
      <c r="J174" s="43">
        <v>0</v>
      </c>
      <c r="K174" s="43">
        <v>0</v>
      </c>
      <c r="L174" s="43">
        <v>0</v>
      </c>
    </row>
    <row r="175" spans="1:12" x14ac:dyDescent="0.3">
      <c r="A175" s="92">
        <v>46113</v>
      </c>
      <c r="B175" s="8" t="s">
        <v>227</v>
      </c>
      <c r="C175" s="43">
        <v>18</v>
      </c>
      <c r="D175" s="93" t="s">
        <v>411</v>
      </c>
      <c r="E175" s="43" t="s">
        <v>82</v>
      </c>
      <c r="G175" s="43">
        <v>-1</v>
      </c>
      <c r="H175" s="43">
        <v>0</v>
      </c>
      <c r="I175" s="43">
        <v>0</v>
      </c>
      <c r="J175" s="43">
        <v>0</v>
      </c>
      <c r="K175" s="43">
        <v>0</v>
      </c>
      <c r="L175" s="43">
        <v>0</v>
      </c>
    </row>
    <row r="176" spans="1:12" x14ac:dyDescent="0.3">
      <c r="A176" s="92">
        <v>46113</v>
      </c>
      <c r="B176" s="8" t="s">
        <v>227</v>
      </c>
      <c r="C176" s="43">
        <v>18</v>
      </c>
      <c r="D176" s="93" t="s">
        <v>411</v>
      </c>
      <c r="E176" s="43" t="s">
        <v>83</v>
      </c>
      <c r="G176" s="43">
        <v>-1</v>
      </c>
      <c r="H176" s="43">
        <v>0</v>
      </c>
      <c r="I176" s="43">
        <v>0</v>
      </c>
      <c r="J176" s="43">
        <v>0</v>
      </c>
      <c r="K176" s="43">
        <v>0</v>
      </c>
      <c r="L176" s="43">
        <v>0</v>
      </c>
    </row>
    <row r="177" spans="1:12" x14ac:dyDescent="0.3">
      <c r="A177" s="92">
        <v>46113</v>
      </c>
      <c r="B177" s="8" t="s">
        <v>227</v>
      </c>
      <c r="C177" s="43">
        <v>18</v>
      </c>
      <c r="D177" s="93" t="s">
        <v>412</v>
      </c>
      <c r="E177" s="43" t="s">
        <v>84</v>
      </c>
      <c r="F177" s="43" t="s">
        <v>409</v>
      </c>
      <c r="G177" s="43">
        <v>1</v>
      </c>
      <c r="H177" s="43">
        <v>1000</v>
      </c>
      <c r="I177" s="43">
        <v>206.48272679324901</v>
      </c>
      <c r="J177" s="43">
        <v>206482.72679324902</v>
      </c>
      <c r="K177" s="43">
        <v>1000</v>
      </c>
      <c r="L177" s="43">
        <v>320</v>
      </c>
    </row>
    <row r="178" spans="1:12" x14ac:dyDescent="0.3">
      <c r="A178" s="92">
        <v>46113</v>
      </c>
      <c r="B178" s="8" t="s">
        <v>227</v>
      </c>
      <c r="C178" s="43">
        <v>18</v>
      </c>
      <c r="D178" s="93" t="s">
        <v>412</v>
      </c>
      <c r="E178" s="43" t="s">
        <v>85</v>
      </c>
      <c r="G178" s="43">
        <v>1</v>
      </c>
      <c r="H178" s="43">
        <v>0</v>
      </c>
      <c r="I178" s="43">
        <v>0</v>
      </c>
      <c r="J178" s="43">
        <v>0</v>
      </c>
      <c r="K178" s="43">
        <v>0</v>
      </c>
      <c r="L178" s="43">
        <v>0</v>
      </c>
    </row>
    <row r="179" spans="1:12" x14ac:dyDescent="0.3">
      <c r="A179" s="92">
        <v>46113</v>
      </c>
      <c r="B179" s="8" t="s">
        <v>227</v>
      </c>
      <c r="C179" s="43">
        <v>18</v>
      </c>
      <c r="D179" s="93" t="s">
        <v>412</v>
      </c>
      <c r="E179" s="43" t="s">
        <v>86</v>
      </c>
      <c r="G179" s="43">
        <v>1</v>
      </c>
      <c r="H179" s="43">
        <v>0</v>
      </c>
      <c r="I179" s="43">
        <v>0</v>
      </c>
      <c r="J179" s="43">
        <v>0</v>
      </c>
      <c r="K179" s="43">
        <v>0</v>
      </c>
      <c r="L179" s="43">
        <v>0</v>
      </c>
    </row>
    <row r="180" spans="1:12" x14ac:dyDescent="0.3">
      <c r="A180" s="92">
        <v>46113</v>
      </c>
      <c r="B180" s="8" t="s">
        <v>227</v>
      </c>
      <c r="C180" s="43">
        <v>18</v>
      </c>
      <c r="D180" s="93" t="s">
        <v>413</v>
      </c>
      <c r="E180" s="43" t="s">
        <v>87</v>
      </c>
      <c r="F180" s="43" t="s">
        <v>410</v>
      </c>
      <c r="G180" s="43">
        <v>1</v>
      </c>
      <c r="H180" s="43">
        <v>1500</v>
      </c>
      <c r="I180" s="43">
        <v>50</v>
      </c>
      <c r="J180" s="43">
        <v>75000</v>
      </c>
      <c r="K180" s="43">
        <v>1500</v>
      </c>
      <c r="L180" s="43">
        <v>50</v>
      </c>
    </row>
    <row r="181" spans="1:12" x14ac:dyDescent="0.3">
      <c r="A181" s="92">
        <v>46113</v>
      </c>
      <c r="B181" s="8" t="s">
        <v>227</v>
      </c>
      <c r="C181" s="43">
        <v>18</v>
      </c>
      <c r="D181" s="93" t="s">
        <v>413</v>
      </c>
      <c r="E181" s="43" t="s">
        <v>88</v>
      </c>
      <c r="G181" s="43">
        <v>1</v>
      </c>
      <c r="H181" s="43">
        <v>0</v>
      </c>
      <c r="I181" s="43">
        <v>0</v>
      </c>
      <c r="J181" s="43">
        <v>0</v>
      </c>
      <c r="K181" s="43">
        <v>0</v>
      </c>
      <c r="L181" s="43">
        <v>0</v>
      </c>
    </row>
    <row r="182" spans="1:12" x14ac:dyDescent="0.3">
      <c r="A182" s="92">
        <v>46130</v>
      </c>
      <c r="B182" s="8" t="s">
        <v>506</v>
      </c>
      <c r="C182" s="43">
        <v>19</v>
      </c>
      <c r="D182" s="93" t="s">
        <v>411</v>
      </c>
      <c r="E182" s="43" t="s">
        <v>79</v>
      </c>
      <c r="F182" s="43" t="s">
        <v>178</v>
      </c>
      <c r="G182" s="43">
        <v>-1</v>
      </c>
      <c r="H182" s="43">
        <v>3500</v>
      </c>
      <c r="I182" s="43">
        <v>112.86352996254683</v>
      </c>
      <c r="J182" s="43">
        <v>395022.35486891394</v>
      </c>
      <c r="K182" s="43">
        <v>-3500</v>
      </c>
      <c r="L182" s="43">
        <v>0</v>
      </c>
    </row>
    <row r="183" spans="1:12" x14ac:dyDescent="0.3">
      <c r="A183" s="92">
        <v>46130</v>
      </c>
      <c r="B183" s="8" t="s">
        <v>506</v>
      </c>
      <c r="C183" s="43">
        <v>19</v>
      </c>
      <c r="D183" s="93" t="s">
        <v>411</v>
      </c>
      <c r="E183" s="43" t="s">
        <v>80</v>
      </c>
      <c r="G183" s="43">
        <v>-1</v>
      </c>
      <c r="H183" s="43">
        <v>0</v>
      </c>
      <c r="I183" s="43">
        <v>0</v>
      </c>
      <c r="J183" s="43">
        <v>0</v>
      </c>
      <c r="K183" s="43">
        <v>0</v>
      </c>
      <c r="L183" s="43">
        <v>0</v>
      </c>
    </row>
    <row r="184" spans="1:12" x14ac:dyDescent="0.3">
      <c r="A184" s="92">
        <v>46130</v>
      </c>
      <c r="B184" s="8" t="s">
        <v>506</v>
      </c>
      <c r="C184" s="43">
        <v>19</v>
      </c>
      <c r="D184" s="93" t="s">
        <v>411</v>
      </c>
      <c r="E184" s="43" t="s">
        <v>81</v>
      </c>
      <c r="G184" s="43">
        <v>-1</v>
      </c>
      <c r="H184" s="43">
        <v>0</v>
      </c>
      <c r="I184" s="43">
        <v>0</v>
      </c>
      <c r="J184" s="43">
        <v>0</v>
      </c>
      <c r="K184" s="43">
        <v>0</v>
      </c>
      <c r="L184" s="43">
        <v>0</v>
      </c>
    </row>
    <row r="185" spans="1:12" x14ac:dyDescent="0.3">
      <c r="A185" s="92">
        <v>46130</v>
      </c>
      <c r="B185" s="8" t="s">
        <v>506</v>
      </c>
      <c r="C185" s="43">
        <v>19</v>
      </c>
      <c r="D185" s="93" t="s">
        <v>411</v>
      </c>
      <c r="E185" s="43" t="s">
        <v>82</v>
      </c>
      <c r="G185" s="43">
        <v>-1</v>
      </c>
      <c r="H185" s="43">
        <v>0</v>
      </c>
      <c r="I185" s="43">
        <v>0</v>
      </c>
      <c r="J185" s="43">
        <v>0</v>
      </c>
      <c r="K185" s="43">
        <v>0</v>
      </c>
      <c r="L185" s="43">
        <v>0</v>
      </c>
    </row>
    <row r="186" spans="1:12" x14ac:dyDescent="0.3">
      <c r="A186" s="92">
        <v>46130</v>
      </c>
      <c r="B186" s="8" t="s">
        <v>506</v>
      </c>
      <c r="C186" s="43">
        <v>19</v>
      </c>
      <c r="D186" s="93" t="s">
        <v>411</v>
      </c>
      <c r="E186" s="43" t="s">
        <v>83</v>
      </c>
      <c r="G186" s="43">
        <v>-1</v>
      </c>
      <c r="H186" s="43">
        <v>0</v>
      </c>
      <c r="I186" s="43">
        <v>0</v>
      </c>
      <c r="J186" s="43">
        <v>0</v>
      </c>
      <c r="K186" s="43">
        <v>0</v>
      </c>
      <c r="L186" s="43">
        <v>0</v>
      </c>
    </row>
    <row r="187" spans="1:12" x14ac:dyDescent="0.3">
      <c r="A187" s="92">
        <v>46130</v>
      </c>
      <c r="B187" s="8" t="s">
        <v>506</v>
      </c>
      <c r="C187" s="43">
        <v>19</v>
      </c>
      <c r="D187" s="93" t="s">
        <v>412</v>
      </c>
      <c r="E187" s="43" t="s">
        <v>84</v>
      </c>
      <c r="F187" s="43" t="s">
        <v>409</v>
      </c>
      <c r="G187" s="43">
        <v>1</v>
      </c>
      <c r="H187" s="43">
        <v>1400</v>
      </c>
      <c r="I187" s="43">
        <v>207.1588249063671</v>
      </c>
      <c r="J187" s="43">
        <v>290022.35486891394</v>
      </c>
      <c r="K187" s="43">
        <v>1400</v>
      </c>
      <c r="L187" s="43">
        <v>320</v>
      </c>
    </row>
    <row r="188" spans="1:12" x14ac:dyDescent="0.3">
      <c r="A188" s="92">
        <v>46130</v>
      </c>
      <c r="B188" s="8" t="s">
        <v>506</v>
      </c>
      <c r="C188" s="43">
        <v>19</v>
      </c>
      <c r="D188" s="93" t="s">
        <v>412</v>
      </c>
      <c r="E188" s="43" t="s">
        <v>85</v>
      </c>
      <c r="G188" s="43">
        <v>1</v>
      </c>
      <c r="H188" s="43">
        <v>0</v>
      </c>
      <c r="I188" s="43">
        <v>0</v>
      </c>
      <c r="J188" s="43">
        <v>0</v>
      </c>
      <c r="K188" s="43">
        <v>0</v>
      </c>
      <c r="L188" s="43">
        <v>0</v>
      </c>
    </row>
    <row r="189" spans="1:12" x14ac:dyDescent="0.3">
      <c r="A189" s="92">
        <v>46130</v>
      </c>
      <c r="B189" s="8" t="s">
        <v>506</v>
      </c>
      <c r="C189" s="43">
        <v>19</v>
      </c>
      <c r="D189" s="93" t="s">
        <v>412</v>
      </c>
      <c r="E189" s="43" t="s">
        <v>86</v>
      </c>
      <c r="G189" s="43">
        <v>1</v>
      </c>
      <c r="H189" s="43">
        <v>0</v>
      </c>
      <c r="I189" s="43">
        <v>0</v>
      </c>
      <c r="J189" s="43">
        <v>0</v>
      </c>
      <c r="K189" s="43">
        <v>0</v>
      </c>
      <c r="L189" s="43">
        <v>0</v>
      </c>
    </row>
    <row r="190" spans="1:12" x14ac:dyDescent="0.3">
      <c r="A190" s="92">
        <v>46130</v>
      </c>
      <c r="B190" s="8" t="s">
        <v>506</v>
      </c>
      <c r="C190" s="43">
        <v>19</v>
      </c>
      <c r="D190" s="93" t="s">
        <v>413</v>
      </c>
      <c r="E190" s="43" t="s">
        <v>87</v>
      </c>
      <c r="F190" s="43" t="s">
        <v>410</v>
      </c>
      <c r="G190" s="43">
        <v>1</v>
      </c>
      <c r="H190" s="43">
        <v>2100</v>
      </c>
      <c r="I190" s="43">
        <v>50</v>
      </c>
      <c r="J190" s="43">
        <v>105000</v>
      </c>
      <c r="K190" s="43">
        <v>2100</v>
      </c>
      <c r="L190" s="43">
        <v>50</v>
      </c>
    </row>
    <row r="191" spans="1:12" x14ac:dyDescent="0.3">
      <c r="A191" s="92">
        <v>46130</v>
      </c>
      <c r="B191" s="8" t="s">
        <v>506</v>
      </c>
      <c r="C191" s="43">
        <v>19</v>
      </c>
      <c r="D191" s="93" t="s">
        <v>413</v>
      </c>
      <c r="E191" s="43" t="s">
        <v>88</v>
      </c>
      <c r="G191" s="43">
        <v>1</v>
      </c>
      <c r="H191" s="43">
        <v>0</v>
      </c>
      <c r="I191" s="43">
        <v>0</v>
      </c>
      <c r="J191" s="43">
        <v>0</v>
      </c>
      <c r="K191" s="43">
        <v>0</v>
      </c>
      <c r="L191" s="43">
        <v>0</v>
      </c>
    </row>
    <row r="192" spans="1:12" x14ac:dyDescent="0.3">
      <c r="A192" s="92"/>
    </row>
    <row r="193" spans="1:1" x14ac:dyDescent="0.3">
      <c r="A193" s="9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3" name="Button 2">
              <controlPr defaultSize="0" print="0" autoFill="0" autoPict="0" macro="[0]!RecalculateAllProductionRates">
                <anchor moveWithCells="1" sizeWithCells="1">
                  <from>
                    <xdr:col>0</xdr:col>
                    <xdr:colOff>298450</xdr:colOff>
                    <xdr:row>0</xdr:row>
                    <xdr:rowOff>69850</xdr:rowOff>
                  </from>
                  <to>
                    <xdr:col>2</xdr:col>
                    <xdr:colOff>292100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4" name="Button 3">
              <controlPr defaultSize="0" print="0" autoFill="0" autoPict="0" macro="[0]!RunPreliminaryCost">
                <anchor moveWithCells="1" sizeWithCells="1">
                  <from>
                    <xdr:col>3</xdr:col>
                    <xdr:colOff>1289050</xdr:colOff>
                    <xdr:row>0</xdr:row>
                    <xdr:rowOff>82550</xdr:rowOff>
                  </from>
                  <to>
                    <xdr:col>5</xdr:col>
                    <xdr:colOff>577850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5" name="Button 4">
              <controlPr defaultSize="0" print="0" autoFill="0" autoPict="0" macro="[0]!RunFinalCost">
                <anchor moveWithCells="1">
                  <from>
                    <xdr:col>6</xdr:col>
                    <xdr:colOff>209550</xdr:colOff>
                    <xdr:row>0</xdr:row>
                    <xdr:rowOff>95250</xdr:rowOff>
                  </from>
                  <to>
                    <xdr:col>8</xdr:col>
                    <xdr:colOff>508000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6" name="Button 5">
              <controlPr defaultSize="0" print="0" autoFill="0" autoPict="0" macro="[0]!SafeRefreshStockJournal">
                <anchor moveWithCells="1" sizeWithCells="1">
                  <from>
                    <xdr:col>9</xdr:col>
                    <xdr:colOff>558800</xdr:colOff>
                    <xdr:row>0</xdr:row>
                    <xdr:rowOff>120650</xdr:rowOff>
                  </from>
                  <to>
                    <xdr:col>12</xdr:col>
                    <xdr:colOff>355600</xdr:colOff>
                    <xdr:row>0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EAA6C-E0E8-4DF0-9755-B236B29FB1D3}">
  <sheetPr codeName="Sheet18">
    <tabColor rgb="FF92D050"/>
  </sheetPr>
  <dimension ref="A1:M219"/>
  <sheetViews>
    <sheetView showGridLines="0" zoomScale="92" workbookViewId="0">
      <pane ySplit="1" topLeftCell="A2" activePane="bottomLeft" state="frozen"/>
      <selection activeCell="E21" sqref="E21"/>
      <selection pane="bottomLeft" activeCell="K9" sqref="K9"/>
    </sheetView>
  </sheetViews>
  <sheetFormatPr defaultRowHeight="14.5" x14ac:dyDescent="0.35"/>
  <cols>
    <col min="1" max="1" width="17.08984375" style="89" customWidth="1"/>
    <col min="2" max="2" width="12.36328125" style="5" customWidth="1"/>
    <col min="3" max="3" width="6.08984375" style="5" customWidth="1"/>
    <col min="4" max="4" width="16.26953125" style="5" bestFit="1" customWidth="1"/>
    <col min="5" max="5" width="12.90625" style="5" bestFit="1" customWidth="1"/>
    <col min="6" max="6" width="17.7265625" style="5" bestFit="1" customWidth="1"/>
    <col min="7" max="7" width="6" style="5" customWidth="1"/>
    <col min="8" max="8" width="7.81640625" style="5" customWidth="1"/>
    <col min="9" max="9" width="8.90625" style="5" customWidth="1"/>
    <col min="10" max="10" width="15.54296875" style="5" bestFit="1" customWidth="1"/>
    <col min="11" max="11" width="19.81640625" style="88" customWidth="1"/>
    <col min="12" max="12" width="11.6328125" style="89" customWidth="1"/>
    <col min="13" max="13" width="66.54296875" style="5" bestFit="1" customWidth="1"/>
  </cols>
  <sheetData>
    <row r="1" spans="1:13" ht="46" customHeight="1" x14ac:dyDescent="0.35">
      <c r="A1" s="79" t="s">
        <v>16</v>
      </c>
      <c r="B1" s="80" t="s">
        <v>50</v>
      </c>
      <c r="C1" s="80" t="s">
        <v>100</v>
      </c>
      <c r="D1" s="80" t="s">
        <v>93</v>
      </c>
      <c r="E1" s="80" t="s">
        <v>95</v>
      </c>
      <c r="F1" s="80" t="s">
        <v>44</v>
      </c>
      <c r="G1" s="80" t="s">
        <v>94</v>
      </c>
      <c r="H1" s="80" t="s">
        <v>51</v>
      </c>
      <c r="I1" s="80" t="s">
        <v>52</v>
      </c>
      <c r="J1" s="80" t="s">
        <v>99</v>
      </c>
      <c r="K1" s="81" t="s">
        <v>101</v>
      </c>
      <c r="L1" s="79" t="s">
        <v>103</v>
      </c>
      <c r="M1" s="80" t="s">
        <v>102</v>
      </c>
    </row>
    <row r="2" spans="1:13" x14ac:dyDescent="0.35">
      <c r="A2" s="82">
        <v>45854</v>
      </c>
      <c r="C2" s="83"/>
      <c r="D2" s="83" t="s">
        <v>173</v>
      </c>
      <c r="E2" s="83" t="s">
        <v>79</v>
      </c>
      <c r="F2" s="83" t="s">
        <v>204</v>
      </c>
      <c r="G2" s="83">
        <v>1</v>
      </c>
      <c r="H2" s="83">
        <v>30</v>
      </c>
      <c r="I2" s="83">
        <v>272</v>
      </c>
      <c r="J2" s="84">
        <v>8160</v>
      </c>
      <c r="K2" s="85" t="s">
        <v>174</v>
      </c>
      <c r="L2" s="86">
        <v>1</v>
      </c>
      <c r="M2" s="83" t="s">
        <v>264</v>
      </c>
    </row>
    <row r="3" spans="1:13" x14ac:dyDescent="0.35">
      <c r="A3" s="82">
        <v>45854</v>
      </c>
      <c r="C3" s="83"/>
      <c r="D3" s="83" t="s">
        <v>173</v>
      </c>
      <c r="E3" s="83" t="s">
        <v>79</v>
      </c>
      <c r="F3" s="83" t="s">
        <v>192</v>
      </c>
      <c r="G3" s="83">
        <v>1</v>
      </c>
      <c r="H3" s="83">
        <v>30</v>
      </c>
      <c r="I3" s="83">
        <v>138</v>
      </c>
      <c r="J3" s="84">
        <v>4140</v>
      </c>
      <c r="K3" s="85" t="s">
        <v>174</v>
      </c>
      <c r="L3" s="86">
        <v>1</v>
      </c>
      <c r="M3" s="83" t="s">
        <v>265</v>
      </c>
    </row>
    <row r="4" spans="1:13" x14ac:dyDescent="0.35">
      <c r="A4" s="82">
        <v>45854</v>
      </c>
      <c r="C4" s="83"/>
      <c r="D4" s="83" t="s">
        <v>173</v>
      </c>
      <c r="E4" s="83" t="s">
        <v>79</v>
      </c>
      <c r="F4" s="83" t="s">
        <v>193</v>
      </c>
      <c r="G4" s="83">
        <v>1</v>
      </c>
      <c r="H4" s="83">
        <v>25</v>
      </c>
      <c r="I4" s="83">
        <v>143</v>
      </c>
      <c r="J4" s="84">
        <v>3575</v>
      </c>
      <c r="K4" s="85" t="s">
        <v>174</v>
      </c>
      <c r="L4" s="86">
        <v>1</v>
      </c>
      <c r="M4" s="83" t="s">
        <v>266</v>
      </c>
    </row>
    <row r="5" spans="1:13" x14ac:dyDescent="0.35">
      <c r="A5" s="82">
        <v>45854</v>
      </c>
      <c r="D5" s="5" t="s">
        <v>173</v>
      </c>
      <c r="E5" s="5" t="s">
        <v>79</v>
      </c>
      <c r="F5" s="5" t="s">
        <v>189</v>
      </c>
      <c r="G5" s="5">
        <v>1</v>
      </c>
      <c r="H5" s="5">
        <v>30</v>
      </c>
      <c r="I5" s="5">
        <v>145</v>
      </c>
      <c r="J5" s="230">
        <v>4350</v>
      </c>
      <c r="K5" s="88" t="s">
        <v>174</v>
      </c>
      <c r="L5" s="89">
        <v>1</v>
      </c>
      <c r="M5" s="5" t="s">
        <v>267</v>
      </c>
    </row>
    <row r="6" spans="1:13" x14ac:dyDescent="0.35">
      <c r="A6" s="87">
        <v>45854</v>
      </c>
      <c r="D6" s="5" t="s">
        <v>173</v>
      </c>
      <c r="E6" s="5" t="s">
        <v>79</v>
      </c>
      <c r="F6" s="5" t="s">
        <v>194</v>
      </c>
      <c r="G6" s="5">
        <v>1</v>
      </c>
      <c r="H6" s="5">
        <v>30</v>
      </c>
      <c r="I6" s="5">
        <v>130</v>
      </c>
      <c r="J6" s="84">
        <v>3900</v>
      </c>
      <c r="K6" s="88" t="s">
        <v>174</v>
      </c>
      <c r="L6" s="89">
        <v>1</v>
      </c>
      <c r="M6" s="5" t="s">
        <v>268</v>
      </c>
    </row>
    <row r="7" spans="1:13" x14ac:dyDescent="0.35">
      <c r="A7" s="82">
        <v>45854</v>
      </c>
      <c r="C7" s="83"/>
      <c r="D7" s="83" t="s">
        <v>173</v>
      </c>
      <c r="E7" s="83" t="s">
        <v>79</v>
      </c>
      <c r="F7" s="83" t="s">
        <v>243</v>
      </c>
      <c r="G7" s="83">
        <v>1</v>
      </c>
      <c r="H7" s="83">
        <v>300</v>
      </c>
      <c r="I7" s="83">
        <v>92</v>
      </c>
      <c r="J7" s="84">
        <v>27600</v>
      </c>
      <c r="K7" s="85" t="s">
        <v>174</v>
      </c>
      <c r="L7" s="86">
        <v>1</v>
      </c>
      <c r="M7" s="83" t="s">
        <v>269</v>
      </c>
    </row>
    <row r="8" spans="1:13" x14ac:dyDescent="0.35">
      <c r="A8" s="82">
        <v>45854</v>
      </c>
      <c r="C8" s="83"/>
      <c r="D8" s="83" t="s">
        <v>173</v>
      </c>
      <c r="E8" s="83" t="s">
        <v>79</v>
      </c>
      <c r="F8" s="83" t="s">
        <v>195</v>
      </c>
      <c r="G8" s="83">
        <v>1</v>
      </c>
      <c r="H8" s="83">
        <v>50</v>
      </c>
      <c r="I8" s="83">
        <v>140</v>
      </c>
      <c r="J8" s="84">
        <v>7000</v>
      </c>
      <c r="K8" s="85" t="s">
        <v>174</v>
      </c>
      <c r="L8" s="86">
        <v>1</v>
      </c>
      <c r="M8" s="83" t="s">
        <v>270</v>
      </c>
    </row>
    <row r="9" spans="1:13" x14ac:dyDescent="0.35">
      <c r="A9" s="82">
        <v>45854</v>
      </c>
      <c r="C9" s="83"/>
      <c r="D9" s="83" t="s">
        <v>173</v>
      </c>
      <c r="E9" s="83" t="s">
        <v>79</v>
      </c>
      <c r="F9" s="83" t="s">
        <v>190</v>
      </c>
      <c r="G9" s="83">
        <v>1</v>
      </c>
      <c r="H9" s="83">
        <v>30</v>
      </c>
      <c r="I9" s="83">
        <v>175</v>
      </c>
      <c r="J9" s="84">
        <v>5250</v>
      </c>
      <c r="K9" s="85" t="s">
        <v>174</v>
      </c>
      <c r="L9" s="86">
        <v>1</v>
      </c>
      <c r="M9" s="83" t="s">
        <v>271</v>
      </c>
    </row>
    <row r="10" spans="1:13" x14ac:dyDescent="0.35">
      <c r="A10" s="82">
        <v>45854</v>
      </c>
      <c r="C10" s="83"/>
      <c r="D10" s="83" t="s">
        <v>173</v>
      </c>
      <c r="E10" s="83" t="s">
        <v>79</v>
      </c>
      <c r="F10" s="83" t="s">
        <v>196</v>
      </c>
      <c r="G10" s="83">
        <v>1</v>
      </c>
      <c r="H10" s="83">
        <v>50</v>
      </c>
      <c r="I10" s="83">
        <v>60</v>
      </c>
      <c r="J10" s="84">
        <v>3000</v>
      </c>
      <c r="K10" s="85" t="s">
        <v>174</v>
      </c>
      <c r="L10" s="86">
        <v>1</v>
      </c>
      <c r="M10" s="83" t="s">
        <v>272</v>
      </c>
    </row>
    <row r="11" spans="1:13" x14ac:dyDescent="0.35">
      <c r="A11" s="87">
        <v>45854</v>
      </c>
      <c r="D11" s="5" t="s">
        <v>173</v>
      </c>
      <c r="E11" s="5" t="s">
        <v>79</v>
      </c>
      <c r="F11" s="5" t="s">
        <v>170</v>
      </c>
      <c r="G11" s="5">
        <v>1</v>
      </c>
      <c r="H11" s="5">
        <v>18393.14</v>
      </c>
      <c r="I11" s="5">
        <v>113.00000978625727</v>
      </c>
      <c r="J11" s="5">
        <v>2078425</v>
      </c>
      <c r="K11" s="88" t="s">
        <v>174</v>
      </c>
      <c r="L11" s="89">
        <v>1</v>
      </c>
      <c r="M11" s="5" t="s">
        <v>175</v>
      </c>
    </row>
    <row r="12" spans="1:13" x14ac:dyDescent="0.35">
      <c r="A12" s="82">
        <v>45854</v>
      </c>
      <c r="D12" s="5" t="s">
        <v>173</v>
      </c>
      <c r="E12" s="5" t="s">
        <v>79</v>
      </c>
      <c r="F12" s="5" t="s">
        <v>178</v>
      </c>
      <c r="G12" s="5">
        <v>1</v>
      </c>
      <c r="H12" s="5">
        <v>0</v>
      </c>
      <c r="I12" s="5">
        <v>0</v>
      </c>
      <c r="J12" s="84">
        <v>0</v>
      </c>
      <c r="K12" s="88" t="s">
        <v>174</v>
      </c>
      <c r="L12" s="89">
        <v>1</v>
      </c>
      <c r="M12" s="5" t="s">
        <v>273</v>
      </c>
    </row>
    <row r="13" spans="1:13" x14ac:dyDescent="0.35">
      <c r="A13" s="82">
        <v>45854</v>
      </c>
      <c r="C13" s="83"/>
      <c r="D13" s="83" t="s">
        <v>173</v>
      </c>
      <c r="E13" s="83" t="s">
        <v>79</v>
      </c>
      <c r="F13" s="83" t="s">
        <v>182</v>
      </c>
      <c r="G13" s="83">
        <v>1</v>
      </c>
      <c r="H13" s="83">
        <v>0</v>
      </c>
      <c r="I13" s="83">
        <v>0</v>
      </c>
      <c r="J13" s="84">
        <v>0</v>
      </c>
      <c r="K13" s="85" t="s">
        <v>174</v>
      </c>
      <c r="L13" s="86">
        <v>1</v>
      </c>
      <c r="M13" s="83" t="s">
        <v>274</v>
      </c>
    </row>
    <row r="14" spans="1:13" x14ac:dyDescent="0.35">
      <c r="A14" s="90">
        <v>45854</v>
      </c>
      <c r="C14" s="83"/>
      <c r="D14" s="83" t="s">
        <v>173</v>
      </c>
      <c r="E14" s="83" t="s">
        <v>79</v>
      </c>
      <c r="F14" s="83" t="s">
        <v>197</v>
      </c>
      <c r="G14" s="83">
        <v>1</v>
      </c>
      <c r="H14" s="83">
        <v>0</v>
      </c>
      <c r="I14" s="83">
        <v>0</v>
      </c>
      <c r="J14" s="84">
        <v>0</v>
      </c>
      <c r="K14" s="85" t="s">
        <v>174</v>
      </c>
      <c r="L14" s="86">
        <v>1</v>
      </c>
      <c r="M14" s="83" t="s">
        <v>275</v>
      </c>
    </row>
    <row r="15" spans="1:13" x14ac:dyDescent="0.35">
      <c r="A15" s="90">
        <v>45854</v>
      </c>
      <c r="C15" s="83"/>
      <c r="D15" s="83" t="s">
        <v>173</v>
      </c>
      <c r="E15" s="83" t="s">
        <v>79</v>
      </c>
      <c r="F15" s="83" t="s">
        <v>198</v>
      </c>
      <c r="G15" s="83">
        <v>1</v>
      </c>
      <c r="H15" s="83">
        <v>0</v>
      </c>
      <c r="I15" s="83">
        <v>0</v>
      </c>
      <c r="J15" s="84">
        <v>0</v>
      </c>
      <c r="K15" s="85" t="s">
        <v>174</v>
      </c>
      <c r="L15" s="86">
        <v>1</v>
      </c>
      <c r="M15" s="83" t="s">
        <v>276</v>
      </c>
    </row>
    <row r="16" spans="1:13" x14ac:dyDescent="0.35">
      <c r="A16" s="82">
        <v>45854</v>
      </c>
      <c r="C16" s="83"/>
      <c r="D16" s="83" t="s">
        <v>173</v>
      </c>
      <c r="E16" s="83" t="s">
        <v>79</v>
      </c>
      <c r="F16" s="83" t="s">
        <v>199</v>
      </c>
      <c r="G16" s="83">
        <v>1</v>
      </c>
      <c r="H16" s="83">
        <v>0</v>
      </c>
      <c r="I16" s="83">
        <v>0</v>
      </c>
      <c r="J16" s="84">
        <v>0</v>
      </c>
      <c r="K16" s="85" t="s">
        <v>174</v>
      </c>
      <c r="L16" s="86">
        <v>1</v>
      </c>
      <c r="M16" s="83" t="s">
        <v>277</v>
      </c>
    </row>
    <row r="17" spans="1:13" x14ac:dyDescent="0.35">
      <c r="A17" s="87">
        <v>45854</v>
      </c>
      <c r="D17" s="5" t="s">
        <v>173</v>
      </c>
      <c r="E17" s="5" t="s">
        <v>79</v>
      </c>
      <c r="F17" s="5" t="s">
        <v>200</v>
      </c>
      <c r="G17" s="5">
        <v>1</v>
      </c>
      <c r="H17" s="5">
        <v>0</v>
      </c>
      <c r="I17" s="5">
        <v>0</v>
      </c>
      <c r="J17" s="5">
        <v>0</v>
      </c>
      <c r="K17" s="88" t="s">
        <v>174</v>
      </c>
      <c r="L17" s="89">
        <v>1</v>
      </c>
      <c r="M17" s="5" t="s">
        <v>278</v>
      </c>
    </row>
    <row r="18" spans="1:13" x14ac:dyDescent="0.35">
      <c r="A18" s="82">
        <v>45854</v>
      </c>
      <c r="C18" s="83"/>
      <c r="D18" s="83" t="s">
        <v>173</v>
      </c>
      <c r="E18" s="83" t="s">
        <v>79</v>
      </c>
      <c r="F18" s="83" t="s">
        <v>201</v>
      </c>
      <c r="G18" s="83">
        <v>1</v>
      </c>
      <c r="H18" s="83">
        <v>0</v>
      </c>
      <c r="I18" s="83">
        <v>0</v>
      </c>
      <c r="J18" s="84">
        <v>0</v>
      </c>
      <c r="K18" s="85" t="s">
        <v>174</v>
      </c>
      <c r="L18" s="86">
        <v>1</v>
      </c>
      <c r="M18" s="83" t="s">
        <v>279</v>
      </c>
    </row>
    <row r="19" spans="1:13" x14ac:dyDescent="0.35">
      <c r="A19" s="82">
        <v>45854</v>
      </c>
      <c r="C19" s="83"/>
      <c r="D19" s="83" t="s">
        <v>173</v>
      </c>
      <c r="E19" s="83" t="s">
        <v>79</v>
      </c>
      <c r="F19" s="83" t="s">
        <v>202</v>
      </c>
      <c r="G19" s="83">
        <v>1</v>
      </c>
      <c r="H19" s="83">
        <v>0</v>
      </c>
      <c r="I19" s="83">
        <v>0</v>
      </c>
      <c r="J19" s="84">
        <v>0</v>
      </c>
      <c r="K19" s="85" t="s">
        <v>174</v>
      </c>
      <c r="L19" s="86">
        <v>1</v>
      </c>
      <c r="M19" s="83" t="s">
        <v>280</v>
      </c>
    </row>
    <row r="20" spans="1:13" x14ac:dyDescent="0.35">
      <c r="A20" s="82">
        <v>45854</v>
      </c>
      <c r="C20" s="83"/>
      <c r="D20" s="83" t="s">
        <v>173</v>
      </c>
      <c r="E20" s="83" t="s">
        <v>79</v>
      </c>
      <c r="F20" s="83" t="s">
        <v>203</v>
      </c>
      <c r="G20" s="83">
        <v>1</v>
      </c>
      <c r="H20" s="83">
        <v>0</v>
      </c>
      <c r="I20" s="83">
        <v>0</v>
      </c>
      <c r="J20" s="84">
        <v>0</v>
      </c>
      <c r="K20" s="85" t="s">
        <v>174</v>
      </c>
      <c r="L20" s="86">
        <v>1</v>
      </c>
      <c r="M20" s="83" t="s">
        <v>281</v>
      </c>
    </row>
    <row r="21" spans="1:13" x14ac:dyDescent="0.35">
      <c r="A21" s="82">
        <v>45854</v>
      </c>
      <c r="C21" s="83"/>
      <c r="D21" s="83" t="s">
        <v>173</v>
      </c>
      <c r="E21" s="83" t="s">
        <v>79</v>
      </c>
      <c r="F21" s="83" t="s">
        <v>211</v>
      </c>
      <c r="G21" s="83">
        <v>1</v>
      </c>
      <c r="H21" s="83">
        <v>0</v>
      </c>
      <c r="I21" s="83">
        <v>0</v>
      </c>
      <c r="J21" s="84">
        <v>0</v>
      </c>
      <c r="K21" s="85" t="s">
        <v>174</v>
      </c>
      <c r="L21" s="86">
        <v>1</v>
      </c>
      <c r="M21" s="83" t="s">
        <v>282</v>
      </c>
    </row>
    <row r="22" spans="1:13" x14ac:dyDescent="0.35">
      <c r="A22" s="82">
        <v>45854</v>
      </c>
      <c r="C22" s="83"/>
      <c r="D22" s="83" t="s">
        <v>173</v>
      </c>
      <c r="E22" s="83" t="s">
        <v>79</v>
      </c>
      <c r="F22" s="83" t="s">
        <v>209</v>
      </c>
      <c r="G22" s="83">
        <v>1</v>
      </c>
      <c r="H22" s="83">
        <v>0</v>
      </c>
      <c r="I22" s="83">
        <v>0</v>
      </c>
      <c r="J22" s="84">
        <v>0</v>
      </c>
      <c r="K22" s="85" t="s">
        <v>174</v>
      </c>
      <c r="L22" s="86">
        <v>1</v>
      </c>
      <c r="M22" s="83" t="s">
        <v>283</v>
      </c>
    </row>
    <row r="23" spans="1:13" x14ac:dyDescent="0.35">
      <c r="A23" s="82">
        <v>45854</v>
      </c>
      <c r="C23" s="83"/>
      <c r="D23" s="83" t="s">
        <v>173</v>
      </c>
      <c r="E23" s="83" t="s">
        <v>79</v>
      </c>
      <c r="F23" s="83" t="s">
        <v>210</v>
      </c>
      <c r="G23" s="83">
        <v>1</v>
      </c>
      <c r="H23" s="83">
        <v>0</v>
      </c>
      <c r="I23" s="83">
        <v>0</v>
      </c>
      <c r="J23" s="84">
        <v>0</v>
      </c>
      <c r="K23" s="85" t="s">
        <v>174</v>
      </c>
      <c r="L23" s="86">
        <v>1</v>
      </c>
      <c r="M23" s="83" t="s">
        <v>284</v>
      </c>
    </row>
    <row r="24" spans="1:13" x14ac:dyDescent="0.35">
      <c r="A24" s="82">
        <v>45854</v>
      </c>
      <c r="C24" s="83"/>
      <c r="D24" s="83" t="s">
        <v>173</v>
      </c>
      <c r="E24" s="83" t="s">
        <v>79</v>
      </c>
      <c r="F24" s="83" t="s">
        <v>212</v>
      </c>
      <c r="G24" s="83">
        <v>1</v>
      </c>
      <c r="H24" s="83">
        <v>0</v>
      </c>
      <c r="I24" s="83">
        <v>0</v>
      </c>
      <c r="J24" s="84">
        <v>0</v>
      </c>
      <c r="K24" s="85" t="s">
        <v>174</v>
      </c>
      <c r="L24" s="86">
        <v>1</v>
      </c>
      <c r="M24" s="83" t="s">
        <v>285</v>
      </c>
    </row>
    <row r="25" spans="1:13" x14ac:dyDescent="0.35">
      <c r="A25" s="87">
        <v>45854</v>
      </c>
      <c r="D25" s="5" t="s">
        <v>173</v>
      </c>
      <c r="E25" s="5" t="s">
        <v>79</v>
      </c>
      <c r="F25" s="5" t="s">
        <v>213</v>
      </c>
      <c r="G25" s="5">
        <v>1</v>
      </c>
      <c r="H25" s="5">
        <v>0</v>
      </c>
      <c r="I25" s="5">
        <v>0</v>
      </c>
      <c r="J25" s="84">
        <v>0</v>
      </c>
      <c r="K25" s="88" t="s">
        <v>174</v>
      </c>
      <c r="L25" s="89">
        <v>1</v>
      </c>
      <c r="M25" s="5" t="s">
        <v>286</v>
      </c>
    </row>
    <row r="26" spans="1:13" x14ac:dyDescent="0.35">
      <c r="A26" s="82">
        <v>45854</v>
      </c>
      <c r="C26" s="83"/>
      <c r="D26" s="83" t="s">
        <v>173</v>
      </c>
      <c r="E26" s="83" t="s">
        <v>79</v>
      </c>
      <c r="F26" s="83" t="s">
        <v>214</v>
      </c>
      <c r="G26" s="83">
        <v>1</v>
      </c>
      <c r="H26" s="83">
        <v>0</v>
      </c>
      <c r="I26" s="83">
        <v>0</v>
      </c>
      <c r="J26" s="84">
        <v>0</v>
      </c>
      <c r="K26" s="85" t="s">
        <v>174</v>
      </c>
      <c r="L26" s="86">
        <v>1</v>
      </c>
      <c r="M26" s="83" t="s">
        <v>287</v>
      </c>
    </row>
    <row r="27" spans="1:13" x14ac:dyDescent="0.35">
      <c r="A27" s="87">
        <v>45854</v>
      </c>
      <c r="D27" s="5" t="s">
        <v>173</v>
      </c>
      <c r="E27" s="5" t="s">
        <v>79</v>
      </c>
      <c r="F27" s="5" t="s">
        <v>215</v>
      </c>
      <c r="G27" s="5">
        <v>1</v>
      </c>
      <c r="H27" s="5">
        <v>0</v>
      </c>
      <c r="I27" s="5">
        <v>0</v>
      </c>
      <c r="J27" s="84">
        <v>0</v>
      </c>
      <c r="K27" s="88" t="s">
        <v>174</v>
      </c>
      <c r="L27" s="89">
        <v>1</v>
      </c>
      <c r="M27" s="5" t="s">
        <v>288</v>
      </c>
    </row>
    <row r="28" spans="1:13" x14ac:dyDescent="0.35">
      <c r="A28" s="87">
        <v>45854</v>
      </c>
      <c r="D28" s="5" t="s">
        <v>173</v>
      </c>
      <c r="E28" s="5" t="s">
        <v>79</v>
      </c>
      <c r="F28" s="5" t="s">
        <v>216</v>
      </c>
      <c r="G28" s="5">
        <v>1</v>
      </c>
      <c r="H28" s="5">
        <v>0</v>
      </c>
      <c r="I28" s="5">
        <v>0</v>
      </c>
      <c r="J28" s="5">
        <v>0</v>
      </c>
      <c r="K28" s="88" t="s">
        <v>174</v>
      </c>
      <c r="L28" s="89">
        <v>1</v>
      </c>
      <c r="M28" s="5" t="s">
        <v>289</v>
      </c>
    </row>
    <row r="29" spans="1:13" x14ac:dyDescent="0.35">
      <c r="A29" s="87">
        <v>45854</v>
      </c>
      <c r="D29" s="5" t="s">
        <v>173</v>
      </c>
      <c r="E29" s="5" t="s">
        <v>79</v>
      </c>
      <c r="F29" s="5" t="s">
        <v>217</v>
      </c>
      <c r="G29" s="5">
        <v>1</v>
      </c>
      <c r="H29" s="5">
        <v>0</v>
      </c>
      <c r="I29" s="5">
        <v>0</v>
      </c>
      <c r="J29" s="5">
        <v>0</v>
      </c>
      <c r="K29" s="88" t="s">
        <v>174</v>
      </c>
      <c r="L29" s="89">
        <v>1</v>
      </c>
      <c r="M29" s="5" t="s">
        <v>290</v>
      </c>
    </row>
    <row r="30" spans="1:13" x14ac:dyDescent="0.35">
      <c r="A30" s="82">
        <v>45854</v>
      </c>
      <c r="C30" s="83"/>
      <c r="D30" s="83" t="s">
        <v>173</v>
      </c>
      <c r="E30" s="83" t="s">
        <v>79</v>
      </c>
      <c r="F30" s="83" t="s">
        <v>218</v>
      </c>
      <c r="G30" s="83">
        <v>1</v>
      </c>
      <c r="H30" s="83">
        <v>0</v>
      </c>
      <c r="I30" s="83">
        <v>0</v>
      </c>
      <c r="J30" s="84">
        <v>0</v>
      </c>
      <c r="K30" s="85" t="s">
        <v>174</v>
      </c>
      <c r="L30" s="86">
        <v>1</v>
      </c>
      <c r="M30" s="83" t="s">
        <v>291</v>
      </c>
    </row>
    <row r="31" spans="1:13" x14ac:dyDescent="0.35">
      <c r="A31" s="82">
        <v>45854</v>
      </c>
      <c r="C31" s="83"/>
      <c r="D31" s="83" t="s">
        <v>173</v>
      </c>
      <c r="E31" s="83" t="s">
        <v>79</v>
      </c>
      <c r="F31" s="83" t="s">
        <v>219</v>
      </c>
      <c r="G31" s="83">
        <v>1</v>
      </c>
      <c r="H31" s="83">
        <v>0</v>
      </c>
      <c r="I31" s="83">
        <v>0</v>
      </c>
      <c r="J31" s="84">
        <v>0</v>
      </c>
      <c r="K31" s="85" t="s">
        <v>174</v>
      </c>
      <c r="L31" s="86">
        <v>1</v>
      </c>
      <c r="M31" s="83" t="s">
        <v>292</v>
      </c>
    </row>
    <row r="32" spans="1:13" x14ac:dyDescent="0.35">
      <c r="A32" s="87">
        <v>45854</v>
      </c>
      <c r="D32" s="5" t="s">
        <v>173</v>
      </c>
      <c r="E32" s="5" t="s">
        <v>79</v>
      </c>
      <c r="F32" s="5" t="s">
        <v>220</v>
      </c>
      <c r="G32" s="5">
        <v>1</v>
      </c>
      <c r="H32" s="5">
        <v>0</v>
      </c>
      <c r="I32" s="5">
        <v>0</v>
      </c>
      <c r="J32" s="5">
        <v>0</v>
      </c>
      <c r="K32" s="88" t="s">
        <v>174</v>
      </c>
      <c r="L32" s="89">
        <v>1</v>
      </c>
      <c r="M32" s="5" t="s">
        <v>293</v>
      </c>
    </row>
    <row r="33" spans="1:13" x14ac:dyDescent="0.35">
      <c r="A33" s="87">
        <v>45854</v>
      </c>
      <c r="D33" s="5" t="s">
        <v>173</v>
      </c>
      <c r="E33" s="5" t="s">
        <v>79</v>
      </c>
      <c r="F33" s="5" t="s">
        <v>221</v>
      </c>
      <c r="G33" s="5">
        <v>1</v>
      </c>
      <c r="H33" s="5">
        <v>0</v>
      </c>
      <c r="I33" s="5">
        <v>0</v>
      </c>
      <c r="J33" s="5">
        <v>0</v>
      </c>
      <c r="K33" s="88" t="s">
        <v>174</v>
      </c>
      <c r="L33" s="89">
        <v>1</v>
      </c>
      <c r="M33" s="5" t="s">
        <v>294</v>
      </c>
    </row>
    <row r="34" spans="1:13" x14ac:dyDescent="0.35">
      <c r="A34" s="82">
        <v>45854</v>
      </c>
      <c r="C34" s="83"/>
      <c r="D34" s="83" t="s">
        <v>173</v>
      </c>
      <c r="E34" s="83" t="s">
        <v>79</v>
      </c>
      <c r="F34" s="83" t="s">
        <v>222</v>
      </c>
      <c r="G34" s="83">
        <v>1</v>
      </c>
      <c r="H34" s="83">
        <v>0</v>
      </c>
      <c r="I34" s="83">
        <v>0</v>
      </c>
      <c r="J34" s="84">
        <v>0</v>
      </c>
      <c r="K34" s="85" t="s">
        <v>174</v>
      </c>
      <c r="L34" s="86">
        <v>1</v>
      </c>
      <c r="M34" s="83" t="s">
        <v>295</v>
      </c>
    </row>
    <row r="35" spans="1:13" x14ac:dyDescent="0.35">
      <c r="A35" s="87">
        <v>45854</v>
      </c>
      <c r="D35" s="5" t="s">
        <v>173</v>
      </c>
      <c r="E35" s="5" t="s">
        <v>79</v>
      </c>
      <c r="F35" s="5" t="s">
        <v>223</v>
      </c>
      <c r="G35" s="5">
        <v>1</v>
      </c>
      <c r="H35" s="5">
        <v>0</v>
      </c>
      <c r="I35" s="5">
        <v>0</v>
      </c>
      <c r="J35" s="84">
        <v>0</v>
      </c>
      <c r="K35" s="88" t="s">
        <v>174</v>
      </c>
      <c r="L35" s="89">
        <v>1</v>
      </c>
      <c r="M35" s="5" t="s">
        <v>296</v>
      </c>
    </row>
    <row r="36" spans="1:13" x14ac:dyDescent="0.35">
      <c r="A36" s="87">
        <v>45854</v>
      </c>
      <c r="D36" s="5" t="s">
        <v>173</v>
      </c>
      <c r="E36" s="5" t="s">
        <v>79</v>
      </c>
      <c r="F36" s="5" t="s">
        <v>224</v>
      </c>
      <c r="G36" s="5">
        <v>1</v>
      </c>
      <c r="H36" s="5">
        <v>0</v>
      </c>
      <c r="I36" s="5">
        <v>0</v>
      </c>
      <c r="J36" s="5">
        <v>0</v>
      </c>
      <c r="K36" s="88" t="s">
        <v>174</v>
      </c>
      <c r="L36" s="89">
        <v>1</v>
      </c>
      <c r="M36" s="5" t="s">
        <v>297</v>
      </c>
    </row>
    <row r="37" spans="1:13" x14ac:dyDescent="0.35">
      <c r="A37" s="87">
        <v>45854</v>
      </c>
      <c r="D37" s="5" t="s">
        <v>173</v>
      </c>
      <c r="E37" s="5" t="s">
        <v>79</v>
      </c>
      <c r="F37" s="5" t="s">
        <v>235</v>
      </c>
      <c r="G37" s="5">
        <v>1</v>
      </c>
      <c r="H37" s="5">
        <v>0</v>
      </c>
      <c r="I37" s="5">
        <v>0</v>
      </c>
      <c r="J37" s="5">
        <v>0</v>
      </c>
      <c r="K37" s="88" t="s">
        <v>174</v>
      </c>
      <c r="L37" s="89">
        <v>1</v>
      </c>
      <c r="M37" s="5" t="s">
        <v>298</v>
      </c>
    </row>
    <row r="38" spans="1:13" x14ac:dyDescent="0.35">
      <c r="A38" s="90">
        <v>45854</v>
      </c>
      <c r="C38" s="83"/>
      <c r="D38" s="83" t="s">
        <v>173</v>
      </c>
      <c r="E38" s="83" t="s">
        <v>79</v>
      </c>
      <c r="F38" s="83" t="s">
        <v>230</v>
      </c>
      <c r="G38" s="83">
        <v>1</v>
      </c>
      <c r="H38" s="83">
        <v>0</v>
      </c>
      <c r="I38" s="83">
        <v>0</v>
      </c>
      <c r="J38" s="84">
        <v>0</v>
      </c>
      <c r="K38" s="85" t="s">
        <v>174</v>
      </c>
      <c r="L38" s="86">
        <v>1</v>
      </c>
      <c r="M38" s="83" t="s">
        <v>299</v>
      </c>
    </row>
    <row r="39" spans="1:13" x14ac:dyDescent="0.35">
      <c r="A39" s="82">
        <v>45854</v>
      </c>
      <c r="C39" s="83"/>
      <c r="D39" s="83" t="s">
        <v>173</v>
      </c>
      <c r="E39" s="83" t="s">
        <v>79</v>
      </c>
      <c r="F39" s="83" t="s">
        <v>231</v>
      </c>
      <c r="G39" s="83">
        <v>1</v>
      </c>
      <c r="H39" s="83">
        <v>0</v>
      </c>
      <c r="I39" s="83">
        <v>0</v>
      </c>
      <c r="J39" s="84">
        <v>0</v>
      </c>
      <c r="K39" s="85" t="s">
        <v>174</v>
      </c>
      <c r="L39" s="86">
        <v>1</v>
      </c>
      <c r="M39" s="83" t="s">
        <v>300</v>
      </c>
    </row>
    <row r="40" spans="1:13" x14ac:dyDescent="0.35">
      <c r="A40" s="82">
        <v>45854</v>
      </c>
      <c r="C40" s="83"/>
      <c r="D40" s="83" t="s">
        <v>173</v>
      </c>
      <c r="E40" s="83" t="s">
        <v>79</v>
      </c>
      <c r="F40" s="83" t="s">
        <v>232</v>
      </c>
      <c r="G40" s="83">
        <v>1</v>
      </c>
      <c r="H40" s="83">
        <v>0</v>
      </c>
      <c r="I40" s="83">
        <v>0</v>
      </c>
      <c r="J40" s="84">
        <v>0</v>
      </c>
      <c r="K40" s="85" t="s">
        <v>174</v>
      </c>
      <c r="L40" s="86">
        <v>1</v>
      </c>
      <c r="M40" s="83" t="s">
        <v>301</v>
      </c>
    </row>
    <row r="41" spans="1:13" x14ac:dyDescent="0.35">
      <c r="A41" s="82">
        <v>45854</v>
      </c>
      <c r="C41" s="83"/>
      <c r="D41" s="83" t="s">
        <v>173</v>
      </c>
      <c r="E41" s="83" t="s">
        <v>79</v>
      </c>
      <c r="F41" s="83" t="s">
        <v>233</v>
      </c>
      <c r="G41" s="83">
        <v>1</v>
      </c>
      <c r="H41" s="83">
        <v>0</v>
      </c>
      <c r="I41" s="83">
        <v>0</v>
      </c>
      <c r="J41" s="84">
        <v>0</v>
      </c>
      <c r="K41" s="85" t="s">
        <v>174</v>
      </c>
      <c r="L41" s="86">
        <v>1</v>
      </c>
      <c r="M41" s="83" t="s">
        <v>302</v>
      </c>
    </row>
    <row r="42" spans="1:13" x14ac:dyDescent="0.35">
      <c r="A42" s="82">
        <v>45854</v>
      </c>
      <c r="C42" s="83"/>
      <c r="D42" s="83" t="s">
        <v>173</v>
      </c>
      <c r="E42" s="83" t="s">
        <v>79</v>
      </c>
      <c r="F42" s="83" t="s">
        <v>234</v>
      </c>
      <c r="G42" s="83">
        <v>1</v>
      </c>
      <c r="H42" s="83">
        <v>0</v>
      </c>
      <c r="I42" s="83">
        <v>0</v>
      </c>
      <c r="J42" s="84">
        <v>0</v>
      </c>
      <c r="K42" s="85" t="s">
        <v>174</v>
      </c>
      <c r="L42" s="86">
        <v>1</v>
      </c>
      <c r="M42" s="83" t="s">
        <v>303</v>
      </c>
    </row>
    <row r="43" spans="1:13" x14ac:dyDescent="0.35">
      <c r="A43" s="87">
        <v>45854</v>
      </c>
      <c r="D43" s="5" t="s">
        <v>173</v>
      </c>
      <c r="E43" s="5" t="s">
        <v>79</v>
      </c>
      <c r="F43" s="5" t="s">
        <v>238</v>
      </c>
      <c r="G43" s="5">
        <v>1</v>
      </c>
      <c r="H43" s="5">
        <v>0</v>
      </c>
      <c r="I43" s="5">
        <v>0</v>
      </c>
      <c r="J43" s="5">
        <v>0</v>
      </c>
      <c r="K43" s="88" t="s">
        <v>174</v>
      </c>
      <c r="L43" s="89">
        <v>1</v>
      </c>
      <c r="M43" s="5" t="s">
        <v>304</v>
      </c>
    </row>
    <row r="44" spans="1:13" x14ac:dyDescent="0.35">
      <c r="A44" s="82">
        <v>45854</v>
      </c>
      <c r="C44" s="83"/>
      <c r="D44" s="83" t="s">
        <v>173</v>
      </c>
      <c r="E44" s="83" t="s">
        <v>79</v>
      </c>
      <c r="F44" s="83" t="s">
        <v>239</v>
      </c>
      <c r="G44" s="83">
        <v>1</v>
      </c>
      <c r="H44" s="83">
        <v>0</v>
      </c>
      <c r="I44" s="83">
        <v>0</v>
      </c>
      <c r="J44" s="84">
        <v>0</v>
      </c>
      <c r="K44" s="85" t="s">
        <v>174</v>
      </c>
      <c r="L44" s="86">
        <v>1</v>
      </c>
      <c r="M44" s="83" t="s">
        <v>305</v>
      </c>
    </row>
    <row r="45" spans="1:13" x14ac:dyDescent="0.35">
      <c r="A45" s="87">
        <v>45854</v>
      </c>
      <c r="D45" s="5" t="s">
        <v>173</v>
      </c>
      <c r="E45" s="5" t="s">
        <v>79</v>
      </c>
      <c r="F45" s="5" t="s">
        <v>240</v>
      </c>
      <c r="G45" s="5">
        <v>1</v>
      </c>
      <c r="H45" s="5">
        <v>0</v>
      </c>
      <c r="I45" s="5">
        <v>0</v>
      </c>
      <c r="J45" s="84">
        <v>0</v>
      </c>
      <c r="K45" s="88" t="s">
        <v>174</v>
      </c>
      <c r="L45" s="89">
        <v>1</v>
      </c>
      <c r="M45" s="5" t="s">
        <v>306</v>
      </c>
    </row>
    <row r="46" spans="1:13" x14ac:dyDescent="0.35">
      <c r="A46" s="87">
        <v>45854</v>
      </c>
      <c r="D46" s="5" t="s">
        <v>173</v>
      </c>
      <c r="E46" s="5" t="s">
        <v>79</v>
      </c>
      <c r="F46" s="5" t="s">
        <v>241</v>
      </c>
      <c r="G46" s="5">
        <v>1</v>
      </c>
      <c r="H46" s="5">
        <v>0</v>
      </c>
      <c r="I46" s="5">
        <v>0</v>
      </c>
      <c r="J46" s="5">
        <v>0</v>
      </c>
      <c r="K46" s="88" t="s">
        <v>174</v>
      </c>
      <c r="L46" s="89">
        <v>1</v>
      </c>
      <c r="M46" s="5" t="s">
        <v>307</v>
      </c>
    </row>
    <row r="47" spans="1:13" x14ac:dyDescent="0.35">
      <c r="A47" s="82">
        <v>45854</v>
      </c>
      <c r="C47" s="83"/>
      <c r="D47" s="83" t="s">
        <v>173</v>
      </c>
      <c r="E47" s="83" t="s">
        <v>79</v>
      </c>
      <c r="F47" s="83" t="s">
        <v>242</v>
      </c>
      <c r="G47" s="83">
        <v>1</v>
      </c>
      <c r="H47" s="83">
        <v>0</v>
      </c>
      <c r="I47" s="83">
        <v>0</v>
      </c>
      <c r="J47" s="84">
        <v>0</v>
      </c>
      <c r="K47" s="85" t="s">
        <v>174</v>
      </c>
      <c r="L47" s="86">
        <v>1</v>
      </c>
      <c r="M47" s="83" t="s">
        <v>308</v>
      </c>
    </row>
    <row r="48" spans="1:13" x14ac:dyDescent="0.35">
      <c r="A48" s="82">
        <v>45854</v>
      </c>
      <c r="C48" s="83"/>
      <c r="D48" s="83" t="s">
        <v>173</v>
      </c>
      <c r="E48" s="83" t="s">
        <v>84</v>
      </c>
      <c r="F48" s="83" t="s">
        <v>409</v>
      </c>
      <c r="G48" s="83">
        <v>1</v>
      </c>
      <c r="H48" s="83">
        <v>0</v>
      </c>
      <c r="I48" s="83">
        <v>0</v>
      </c>
      <c r="J48" s="84">
        <v>0</v>
      </c>
      <c r="K48" s="85" t="s">
        <v>414</v>
      </c>
      <c r="L48" s="86">
        <v>1</v>
      </c>
      <c r="M48" s="83" t="s">
        <v>415</v>
      </c>
    </row>
    <row r="49" spans="1:13" x14ac:dyDescent="0.35">
      <c r="A49" s="213">
        <v>45854</v>
      </c>
      <c r="B49" s="214"/>
      <c r="C49" s="214"/>
      <c r="D49" s="214" t="s">
        <v>173</v>
      </c>
      <c r="E49" s="214" t="s">
        <v>87</v>
      </c>
      <c r="F49" s="214" t="s">
        <v>410</v>
      </c>
      <c r="G49" s="214">
        <v>1</v>
      </c>
      <c r="H49" s="214">
        <v>0</v>
      </c>
      <c r="I49" s="215">
        <v>0</v>
      </c>
      <c r="J49" s="215">
        <v>0</v>
      </c>
      <c r="K49" s="216" t="s">
        <v>416</v>
      </c>
      <c r="L49" s="217">
        <v>1</v>
      </c>
      <c r="M49" s="5" t="s">
        <v>417</v>
      </c>
    </row>
    <row r="50" spans="1:13" x14ac:dyDescent="0.35">
      <c r="A50" s="87">
        <v>45856</v>
      </c>
      <c r="B50" s="5" t="s">
        <v>180</v>
      </c>
      <c r="C50" s="5">
        <v>1</v>
      </c>
      <c r="D50" s="5" t="s">
        <v>413</v>
      </c>
      <c r="E50" s="5" t="s">
        <v>87</v>
      </c>
      <c r="F50" s="5" t="s">
        <v>410</v>
      </c>
      <c r="G50" s="5">
        <v>1</v>
      </c>
      <c r="H50" s="5">
        <v>11035.884</v>
      </c>
      <c r="I50" s="5">
        <v>50</v>
      </c>
      <c r="J50" s="5">
        <v>551794.19999999995</v>
      </c>
      <c r="K50" s="88" t="s">
        <v>418</v>
      </c>
      <c r="L50" s="89">
        <v>2</v>
      </c>
      <c r="M50" s="5" t="s">
        <v>421</v>
      </c>
    </row>
    <row r="51" spans="1:13" x14ac:dyDescent="0.35">
      <c r="A51" s="87">
        <v>45856</v>
      </c>
      <c r="B51" s="5" t="s">
        <v>180</v>
      </c>
      <c r="C51" s="5">
        <v>1</v>
      </c>
      <c r="D51" s="5" t="s">
        <v>411</v>
      </c>
      <c r="E51" s="5" t="s">
        <v>79</v>
      </c>
      <c r="F51" s="5" t="s">
        <v>170</v>
      </c>
      <c r="G51" s="5">
        <v>-1</v>
      </c>
      <c r="H51" s="5">
        <v>18393.14</v>
      </c>
      <c r="I51" s="5">
        <v>113.000009786257</v>
      </c>
      <c r="J51" s="5">
        <v>-2078424.9999999949</v>
      </c>
      <c r="K51" s="88" t="s">
        <v>418</v>
      </c>
      <c r="L51" s="89">
        <v>2</v>
      </c>
      <c r="M51" s="5" t="s">
        <v>419</v>
      </c>
    </row>
    <row r="52" spans="1:13" x14ac:dyDescent="0.35">
      <c r="A52" s="213">
        <v>45856</v>
      </c>
      <c r="B52" s="214" t="s">
        <v>180</v>
      </c>
      <c r="C52" s="214">
        <v>1</v>
      </c>
      <c r="D52" s="214" t="s">
        <v>412</v>
      </c>
      <c r="E52" s="214" t="s">
        <v>84</v>
      </c>
      <c r="F52" s="214" t="s">
        <v>409</v>
      </c>
      <c r="G52" s="214">
        <v>1</v>
      </c>
      <c r="H52" s="214">
        <v>7357.2560000000003</v>
      </c>
      <c r="I52" s="215">
        <v>220.53802952489511</v>
      </c>
      <c r="J52" s="215">
        <v>1622554.7409502116</v>
      </c>
      <c r="K52" s="216" t="s">
        <v>418</v>
      </c>
      <c r="L52" s="217">
        <v>2</v>
      </c>
      <c r="M52" s="5" t="s">
        <v>420</v>
      </c>
    </row>
    <row r="53" spans="1:13" x14ac:dyDescent="0.35">
      <c r="A53" s="213">
        <v>45864</v>
      </c>
      <c r="B53" s="214" t="s">
        <v>180</v>
      </c>
      <c r="C53" s="214">
        <v>11</v>
      </c>
      <c r="D53" s="214" t="s">
        <v>179</v>
      </c>
      <c r="E53" s="214" t="s">
        <v>79</v>
      </c>
      <c r="F53" s="214" t="s">
        <v>178</v>
      </c>
      <c r="G53" s="214">
        <v>1</v>
      </c>
      <c r="H53" s="214">
        <v>3000</v>
      </c>
      <c r="I53" s="215">
        <v>115.9</v>
      </c>
      <c r="J53" s="215">
        <v>347700</v>
      </c>
      <c r="K53" s="216" t="s">
        <v>309</v>
      </c>
      <c r="L53" s="217">
        <v>2</v>
      </c>
      <c r="M53" s="55" t="s">
        <v>422</v>
      </c>
    </row>
    <row r="54" spans="1:13" x14ac:dyDescent="0.35">
      <c r="A54" s="87">
        <v>45864</v>
      </c>
      <c r="B54" s="5" t="s">
        <v>180</v>
      </c>
      <c r="C54" s="5">
        <v>12</v>
      </c>
      <c r="D54" s="5" t="s">
        <v>179</v>
      </c>
      <c r="E54" s="5" t="s">
        <v>79</v>
      </c>
      <c r="F54" s="5" t="s">
        <v>178</v>
      </c>
      <c r="G54" s="5">
        <v>1</v>
      </c>
      <c r="H54" s="5">
        <v>3000</v>
      </c>
      <c r="I54" s="5">
        <v>115.9</v>
      </c>
      <c r="J54" s="5">
        <v>347700</v>
      </c>
      <c r="K54" s="88" t="s">
        <v>309</v>
      </c>
      <c r="L54" s="89">
        <v>2</v>
      </c>
      <c r="M54" s="5" t="s">
        <v>331</v>
      </c>
    </row>
    <row r="55" spans="1:13" x14ac:dyDescent="0.35">
      <c r="A55" s="87">
        <v>45870</v>
      </c>
      <c r="B55" s="5" t="s">
        <v>180</v>
      </c>
      <c r="C55" s="5">
        <v>2</v>
      </c>
      <c r="D55" s="5" t="s">
        <v>413</v>
      </c>
      <c r="E55" s="5" t="s">
        <v>87</v>
      </c>
      <c r="F55" s="5" t="s">
        <v>410</v>
      </c>
      <c r="G55" s="5">
        <v>1</v>
      </c>
      <c r="H55" s="5">
        <v>3000</v>
      </c>
      <c r="I55" s="5">
        <v>50</v>
      </c>
      <c r="J55" s="5">
        <v>150000</v>
      </c>
      <c r="K55" s="88" t="s">
        <v>418</v>
      </c>
      <c r="L55" s="89">
        <v>2</v>
      </c>
      <c r="M55" s="5" t="s">
        <v>509</v>
      </c>
    </row>
    <row r="56" spans="1:13" s="26" customFormat="1" x14ac:dyDescent="0.35">
      <c r="A56" s="87">
        <v>45870</v>
      </c>
      <c r="B56" s="5" t="s">
        <v>180</v>
      </c>
      <c r="C56" s="5">
        <v>2</v>
      </c>
      <c r="D56" s="5" t="s">
        <v>411</v>
      </c>
      <c r="E56" s="5" t="s">
        <v>79</v>
      </c>
      <c r="F56" s="5" t="s">
        <v>178</v>
      </c>
      <c r="G56" s="5">
        <v>-1</v>
      </c>
      <c r="H56" s="5">
        <v>5000</v>
      </c>
      <c r="I56" s="5">
        <v>115.9</v>
      </c>
      <c r="J56" s="5">
        <v>-579500</v>
      </c>
      <c r="K56" s="88" t="s">
        <v>418</v>
      </c>
      <c r="L56" s="89">
        <v>2</v>
      </c>
      <c r="M56" s="5" t="s">
        <v>507</v>
      </c>
    </row>
    <row r="57" spans="1:13" x14ac:dyDescent="0.35">
      <c r="A57" s="213">
        <v>45870</v>
      </c>
      <c r="B57" s="214" t="s">
        <v>180</v>
      </c>
      <c r="C57" s="214">
        <v>2</v>
      </c>
      <c r="D57" s="214" t="s">
        <v>412</v>
      </c>
      <c r="E57" s="214" t="s">
        <v>84</v>
      </c>
      <c r="F57" s="214" t="s">
        <v>409</v>
      </c>
      <c r="G57" s="214">
        <v>1</v>
      </c>
      <c r="H57" s="214">
        <v>2000</v>
      </c>
      <c r="I57" s="215">
        <v>220.53802952489511</v>
      </c>
      <c r="J57" s="215">
        <v>441076.0590497902</v>
      </c>
      <c r="K57" s="216" t="s">
        <v>418</v>
      </c>
      <c r="L57" s="217">
        <v>2</v>
      </c>
      <c r="M57" s="5" t="s">
        <v>508</v>
      </c>
    </row>
    <row r="58" spans="1:13" x14ac:dyDescent="0.35">
      <c r="A58" s="87">
        <v>45870</v>
      </c>
      <c r="B58" s="5" t="s">
        <v>180</v>
      </c>
      <c r="C58" s="5">
        <v>27</v>
      </c>
      <c r="D58" s="5" t="s">
        <v>179</v>
      </c>
      <c r="E58" s="5" t="s">
        <v>79</v>
      </c>
      <c r="F58" s="5" t="s">
        <v>178</v>
      </c>
      <c r="G58" s="5">
        <v>1</v>
      </c>
      <c r="H58" s="5">
        <v>3000</v>
      </c>
      <c r="I58" s="5">
        <v>105</v>
      </c>
      <c r="J58" s="5">
        <v>315000</v>
      </c>
      <c r="K58" s="88" t="s">
        <v>309</v>
      </c>
      <c r="L58" s="89">
        <v>2</v>
      </c>
      <c r="M58" s="5" t="s">
        <v>345</v>
      </c>
    </row>
    <row r="59" spans="1:13" x14ac:dyDescent="0.35">
      <c r="A59" s="87">
        <v>45871</v>
      </c>
      <c r="B59" s="5" t="s">
        <v>180</v>
      </c>
      <c r="C59" s="5">
        <v>29</v>
      </c>
      <c r="D59" s="5" t="s">
        <v>179</v>
      </c>
      <c r="E59" s="5" t="s">
        <v>79</v>
      </c>
      <c r="F59" s="5" t="s">
        <v>178</v>
      </c>
      <c r="G59" s="5">
        <v>1</v>
      </c>
      <c r="H59" s="5">
        <v>3000</v>
      </c>
      <c r="I59" s="5">
        <v>105</v>
      </c>
      <c r="J59" s="5">
        <v>315000</v>
      </c>
      <c r="K59" s="88" t="s">
        <v>309</v>
      </c>
      <c r="L59" s="89">
        <v>2</v>
      </c>
      <c r="M59" s="5" t="s">
        <v>311</v>
      </c>
    </row>
    <row r="60" spans="1:13" x14ac:dyDescent="0.35">
      <c r="A60" s="87">
        <v>45885</v>
      </c>
      <c r="B60" s="5" t="s">
        <v>180</v>
      </c>
      <c r="C60" s="5" t="s">
        <v>436</v>
      </c>
      <c r="D60" s="5" t="s">
        <v>457</v>
      </c>
      <c r="E60" s="5" t="s">
        <v>84</v>
      </c>
      <c r="F60" s="5" t="s">
        <v>409</v>
      </c>
      <c r="G60" s="5">
        <v>-1</v>
      </c>
      <c r="H60" s="5">
        <v>4350</v>
      </c>
      <c r="I60" s="5">
        <v>300.88495632183907</v>
      </c>
      <c r="J60" s="5">
        <v>-1308849.56</v>
      </c>
      <c r="K60" s="88" t="s">
        <v>458</v>
      </c>
      <c r="L60" s="89">
        <v>2</v>
      </c>
      <c r="M60" s="5" t="s">
        <v>459</v>
      </c>
    </row>
    <row r="61" spans="1:13" x14ac:dyDescent="0.35">
      <c r="A61" s="87">
        <v>45886</v>
      </c>
      <c r="D61" s="5" t="s">
        <v>173</v>
      </c>
      <c r="E61" s="5" t="s">
        <v>84</v>
      </c>
      <c r="F61" s="5" t="s">
        <v>501</v>
      </c>
      <c r="G61" s="5">
        <v>1</v>
      </c>
      <c r="H61" s="5">
        <v>0</v>
      </c>
      <c r="I61" s="5">
        <v>0</v>
      </c>
      <c r="J61" s="5">
        <v>0</v>
      </c>
      <c r="K61" s="88" t="s">
        <v>414</v>
      </c>
      <c r="L61" s="89">
        <v>1</v>
      </c>
      <c r="M61" s="5" t="s">
        <v>502</v>
      </c>
    </row>
    <row r="62" spans="1:13" x14ac:dyDescent="0.35">
      <c r="A62" s="87">
        <v>45887</v>
      </c>
      <c r="B62" s="5" t="s">
        <v>185</v>
      </c>
      <c r="C62" s="5">
        <v>3</v>
      </c>
      <c r="D62" s="5" t="s">
        <v>413</v>
      </c>
      <c r="E62" s="5" t="s">
        <v>87</v>
      </c>
      <c r="F62" s="5" t="s">
        <v>410</v>
      </c>
      <c r="G62" s="5">
        <v>1</v>
      </c>
      <c r="H62" s="5">
        <v>1800</v>
      </c>
      <c r="I62" s="5">
        <v>50</v>
      </c>
      <c r="J62" s="5">
        <v>90000</v>
      </c>
      <c r="K62" s="88" t="s">
        <v>418</v>
      </c>
      <c r="L62" s="89">
        <v>2</v>
      </c>
      <c r="M62" s="5" t="s">
        <v>512</v>
      </c>
    </row>
    <row r="63" spans="1:13" x14ac:dyDescent="0.35">
      <c r="A63" s="87">
        <v>45887</v>
      </c>
      <c r="B63" s="5" t="s">
        <v>185</v>
      </c>
      <c r="C63" s="5">
        <v>3</v>
      </c>
      <c r="D63" s="5" t="s">
        <v>411</v>
      </c>
      <c r="E63" s="5" t="s">
        <v>79</v>
      </c>
      <c r="F63" s="5" t="s">
        <v>178</v>
      </c>
      <c r="G63" s="5">
        <v>-1</v>
      </c>
      <c r="H63" s="5">
        <v>3000</v>
      </c>
      <c r="I63" s="5">
        <v>110.45</v>
      </c>
      <c r="J63" s="5">
        <v>-331350</v>
      </c>
      <c r="K63" s="88" t="s">
        <v>418</v>
      </c>
      <c r="L63" s="89">
        <v>2</v>
      </c>
      <c r="M63" s="5" t="s">
        <v>510</v>
      </c>
    </row>
    <row r="64" spans="1:13" x14ac:dyDescent="0.35">
      <c r="A64" s="87">
        <v>45887</v>
      </c>
      <c r="B64" s="5" t="s">
        <v>185</v>
      </c>
      <c r="C64" s="5">
        <v>3</v>
      </c>
      <c r="D64" s="5" t="s">
        <v>412</v>
      </c>
      <c r="E64" s="5" t="s">
        <v>84</v>
      </c>
      <c r="F64" s="5" t="s">
        <v>409</v>
      </c>
      <c r="G64" s="5">
        <v>1</v>
      </c>
      <c r="H64" s="5">
        <v>1200</v>
      </c>
      <c r="I64" s="5">
        <v>201.125</v>
      </c>
      <c r="J64" s="5">
        <v>241350</v>
      </c>
      <c r="K64" s="88" t="s">
        <v>418</v>
      </c>
      <c r="L64" s="89">
        <v>2</v>
      </c>
      <c r="M64" s="5" t="s">
        <v>511</v>
      </c>
    </row>
    <row r="65" spans="1:13" x14ac:dyDescent="0.35">
      <c r="A65" s="87">
        <v>45901</v>
      </c>
      <c r="B65" s="5" t="s">
        <v>185</v>
      </c>
      <c r="C65" s="5">
        <v>4</v>
      </c>
      <c r="D65" s="5" t="s">
        <v>413</v>
      </c>
      <c r="E65" s="5" t="s">
        <v>87</v>
      </c>
      <c r="F65" s="5" t="s">
        <v>410</v>
      </c>
      <c r="G65" s="5">
        <v>1</v>
      </c>
      <c r="H65" s="5">
        <v>2400</v>
      </c>
      <c r="I65" s="5">
        <v>50</v>
      </c>
      <c r="J65" s="5">
        <v>120000</v>
      </c>
      <c r="K65" s="88" t="s">
        <v>418</v>
      </c>
      <c r="L65" s="89">
        <v>2</v>
      </c>
      <c r="M65" s="5" t="s">
        <v>515</v>
      </c>
    </row>
    <row r="66" spans="1:13" x14ac:dyDescent="0.35">
      <c r="A66" s="87">
        <v>45901</v>
      </c>
      <c r="B66" s="5" t="s">
        <v>185</v>
      </c>
      <c r="C66" s="5">
        <v>4</v>
      </c>
      <c r="D66" s="5" t="s">
        <v>411</v>
      </c>
      <c r="E66" s="5" t="s">
        <v>79</v>
      </c>
      <c r="F66" s="5" t="s">
        <v>178</v>
      </c>
      <c r="G66" s="5">
        <v>-1</v>
      </c>
      <c r="H66" s="5">
        <v>4000</v>
      </c>
      <c r="I66" s="5">
        <v>110.45</v>
      </c>
      <c r="J66" s="5">
        <v>-441800</v>
      </c>
      <c r="K66" s="88" t="s">
        <v>418</v>
      </c>
      <c r="L66" s="89">
        <v>2</v>
      </c>
      <c r="M66" s="5" t="s">
        <v>513</v>
      </c>
    </row>
    <row r="67" spans="1:13" x14ac:dyDescent="0.35">
      <c r="A67" s="87">
        <v>45901</v>
      </c>
      <c r="B67" s="5" t="s">
        <v>185</v>
      </c>
      <c r="C67" s="5">
        <v>4</v>
      </c>
      <c r="D67" s="5" t="s">
        <v>412</v>
      </c>
      <c r="E67" s="5" t="s">
        <v>84</v>
      </c>
      <c r="F67" s="5" t="s">
        <v>409</v>
      </c>
      <c r="G67" s="5">
        <v>1</v>
      </c>
      <c r="H67" s="5">
        <v>1600</v>
      </c>
      <c r="I67" s="5">
        <v>201.125</v>
      </c>
      <c r="J67" s="5">
        <v>321800</v>
      </c>
      <c r="K67" s="88" t="s">
        <v>418</v>
      </c>
      <c r="L67" s="89">
        <v>2</v>
      </c>
      <c r="M67" s="5" t="s">
        <v>514</v>
      </c>
    </row>
    <row r="68" spans="1:13" x14ac:dyDescent="0.35">
      <c r="A68" s="213">
        <v>45902</v>
      </c>
      <c r="B68" s="214" t="s">
        <v>185</v>
      </c>
      <c r="C68" s="214">
        <v>80</v>
      </c>
      <c r="D68" s="214" t="s">
        <v>179</v>
      </c>
      <c r="E68" s="214" t="s">
        <v>79</v>
      </c>
      <c r="F68" s="214" t="s">
        <v>178</v>
      </c>
      <c r="G68" s="214">
        <v>1</v>
      </c>
      <c r="H68" s="214">
        <v>3000</v>
      </c>
      <c r="I68" s="215">
        <v>116</v>
      </c>
      <c r="J68" s="215">
        <v>348000</v>
      </c>
      <c r="K68" s="216" t="s">
        <v>309</v>
      </c>
      <c r="L68" s="217">
        <v>2</v>
      </c>
      <c r="M68" s="5" t="s">
        <v>315</v>
      </c>
    </row>
    <row r="69" spans="1:13" x14ac:dyDescent="0.35">
      <c r="A69" s="87">
        <v>45902</v>
      </c>
      <c r="B69" s="5" t="s">
        <v>185</v>
      </c>
      <c r="C69" s="5">
        <v>79</v>
      </c>
      <c r="D69" s="5" t="s">
        <v>179</v>
      </c>
      <c r="E69" s="5" t="s">
        <v>79</v>
      </c>
      <c r="F69" s="5" t="s">
        <v>178</v>
      </c>
      <c r="G69" s="5">
        <v>1</v>
      </c>
      <c r="H69" s="5">
        <v>3000</v>
      </c>
      <c r="I69" s="5">
        <v>108</v>
      </c>
      <c r="J69" s="5">
        <v>324000</v>
      </c>
      <c r="K69" s="88" t="s">
        <v>309</v>
      </c>
      <c r="L69" s="89">
        <v>2</v>
      </c>
      <c r="M69" s="5" t="s">
        <v>317</v>
      </c>
    </row>
    <row r="70" spans="1:13" x14ac:dyDescent="0.35">
      <c r="A70" s="87">
        <v>45903</v>
      </c>
      <c r="B70" s="5" t="s">
        <v>185</v>
      </c>
      <c r="C70" s="5">
        <v>81</v>
      </c>
      <c r="D70" s="5" t="s">
        <v>179</v>
      </c>
      <c r="E70" s="5" t="s">
        <v>79</v>
      </c>
      <c r="F70" s="5" t="s">
        <v>178</v>
      </c>
      <c r="G70" s="5">
        <v>1</v>
      </c>
      <c r="H70" s="5">
        <v>3000</v>
      </c>
      <c r="I70" s="5">
        <v>120</v>
      </c>
      <c r="J70" s="5">
        <v>360000</v>
      </c>
      <c r="K70" s="88" t="s">
        <v>309</v>
      </c>
      <c r="L70" s="89">
        <v>2</v>
      </c>
      <c r="M70" s="5" t="s">
        <v>316</v>
      </c>
    </row>
    <row r="71" spans="1:13" x14ac:dyDescent="0.35">
      <c r="A71" s="87">
        <v>45916</v>
      </c>
      <c r="B71" s="5" t="s">
        <v>185</v>
      </c>
      <c r="C71" s="5" t="s">
        <v>441</v>
      </c>
      <c r="D71" s="5" t="s">
        <v>457</v>
      </c>
      <c r="E71" s="5" t="s">
        <v>84</v>
      </c>
      <c r="F71" s="5" t="s">
        <v>409</v>
      </c>
      <c r="G71" s="5">
        <v>-1</v>
      </c>
      <c r="H71" s="5">
        <v>3445</v>
      </c>
      <c r="I71" s="5">
        <v>300.88495500725691</v>
      </c>
      <c r="J71" s="5">
        <v>-1036548.67</v>
      </c>
      <c r="K71" s="88" t="s">
        <v>458</v>
      </c>
      <c r="L71" s="89">
        <v>2</v>
      </c>
      <c r="M71" s="5" t="s">
        <v>460</v>
      </c>
    </row>
    <row r="72" spans="1:13" x14ac:dyDescent="0.35">
      <c r="A72" s="87">
        <v>45918</v>
      </c>
      <c r="B72" s="5" t="s">
        <v>183</v>
      </c>
      <c r="C72" s="5">
        <v>5</v>
      </c>
      <c r="D72" s="5" t="s">
        <v>413</v>
      </c>
      <c r="E72" s="5" t="s">
        <v>87</v>
      </c>
      <c r="F72" s="5" t="s">
        <v>410</v>
      </c>
      <c r="G72" s="5">
        <v>1</v>
      </c>
      <c r="H72" s="5">
        <v>2400</v>
      </c>
      <c r="I72" s="5">
        <v>50</v>
      </c>
      <c r="J72" s="5">
        <v>120000</v>
      </c>
      <c r="K72" s="88" t="s">
        <v>418</v>
      </c>
      <c r="L72" s="89">
        <v>2</v>
      </c>
      <c r="M72" s="5" t="s">
        <v>505</v>
      </c>
    </row>
    <row r="73" spans="1:13" x14ac:dyDescent="0.35">
      <c r="A73" s="213">
        <v>45918</v>
      </c>
      <c r="B73" s="214" t="s">
        <v>183</v>
      </c>
      <c r="C73" s="214">
        <v>5</v>
      </c>
      <c r="D73" s="214" t="s">
        <v>411</v>
      </c>
      <c r="E73" s="214" t="s">
        <v>79</v>
      </c>
      <c r="F73" s="214" t="s">
        <v>178</v>
      </c>
      <c r="G73" s="214">
        <v>-1</v>
      </c>
      <c r="H73" s="214">
        <v>4000</v>
      </c>
      <c r="I73" s="215">
        <v>112.25714285714299</v>
      </c>
      <c r="J73" s="215">
        <v>-449028.571428572</v>
      </c>
      <c r="K73" s="216" t="s">
        <v>418</v>
      </c>
      <c r="L73" s="217">
        <v>2</v>
      </c>
      <c r="M73" s="5" t="s">
        <v>503</v>
      </c>
    </row>
    <row r="74" spans="1:13" x14ac:dyDescent="0.35">
      <c r="A74" s="87">
        <v>45918</v>
      </c>
      <c r="B74" s="5" t="s">
        <v>183</v>
      </c>
      <c r="C74" s="5">
        <v>5</v>
      </c>
      <c r="D74" s="5" t="s">
        <v>412</v>
      </c>
      <c r="E74" s="5" t="s">
        <v>84</v>
      </c>
      <c r="F74" s="5" t="s">
        <v>409</v>
      </c>
      <c r="G74" s="5">
        <v>1</v>
      </c>
      <c r="H74" s="5">
        <v>1600</v>
      </c>
      <c r="I74" s="5">
        <v>205.642857142857</v>
      </c>
      <c r="J74" s="5">
        <v>329028.57142857119</v>
      </c>
      <c r="K74" s="88" t="s">
        <v>418</v>
      </c>
      <c r="L74" s="89">
        <v>2</v>
      </c>
      <c r="M74" s="5" t="s">
        <v>504</v>
      </c>
    </row>
    <row r="75" spans="1:13" x14ac:dyDescent="0.35">
      <c r="A75" s="87">
        <v>45931</v>
      </c>
      <c r="B75" s="5" t="s">
        <v>183</v>
      </c>
      <c r="C75" s="5">
        <v>6</v>
      </c>
      <c r="D75" s="5" t="s">
        <v>413</v>
      </c>
      <c r="E75" s="5" t="s">
        <v>87</v>
      </c>
      <c r="F75" s="5" t="s">
        <v>410</v>
      </c>
      <c r="G75" s="5">
        <v>1</v>
      </c>
      <c r="H75" s="5">
        <v>2400</v>
      </c>
      <c r="I75" s="5">
        <v>50</v>
      </c>
      <c r="J75" s="5">
        <v>120000</v>
      </c>
      <c r="K75" s="88" t="s">
        <v>418</v>
      </c>
      <c r="L75" s="89">
        <v>2</v>
      </c>
      <c r="M75" s="5" t="s">
        <v>518</v>
      </c>
    </row>
    <row r="76" spans="1:13" x14ac:dyDescent="0.35">
      <c r="A76" s="87">
        <v>45931</v>
      </c>
      <c r="B76" s="5" t="s">
        <v>183</v>
      </c>
      <c r="C76" s="5">
        <v>6</v>
      </c>
      <c r="D76" s="5" t="s">
        <v>411</v>
      </c>
      <c r="E76" s="5" t="s">
        <v>79</v>
      </c>
      <c r="F76" s="5" t="s">
        <v>178</v>
      </c>
      <c r="G76" s="5">
        <v>-1</v>
      </c>
      <c r="H76" s="5">
        <v>4000</v>
      </c>
      <c r="I76" s="5">
        <v>112.25714285714299</v>
      </c>
      <c r="J76" s="5">
        <v>-449028.571428572</v>
      </c>
      <c r="K76" s="88" t="s">
        <v>418</v>
      </c>
      <c r="L76" s="89">
        <v>2</v>
      </c>
      <c r="M76" s="5" t="s">
        <v>516</v>
      </c>
    </row>
    <row r="77" spans="1:13" x14ac:dyDescent="0.35">
      <c r="A77" s="87">
        <v>45931</v>
      </c>
      <c r="B77" s="5" t="s">
        <v>183</v>
      </c>
      <c r="C77" s="5">
        <v>6</v>
      </c>
      <c r="D77" s="5" t="s">
        <v>412</v>
      </c>
      <c r="E77" s="5" t="s">
        <v>84</v>
      </c>
      <c r="F77" s="5" t="s">
        <v>409</v>
      </c>
      <c r="G77" s="5">
        <v>1</v>
      </c>
      <c r="H77" s="5">
        <v>1600</v>
      </c>
      <c r="I77" s="5">
        <v>205.642857142857</v>
      </c>
      <c r="J77" s="5">
        <v>329028.57142857119</v>
      </c>
      <c r="K77" s="88" t="s">
        <v>418</v>
      </c>
      <c r="L77" s="89">
        <v>2</v>
      </c>
      <c r="M77" s="5" t="s">
        <v>517</v>
      </c>
    </row>
    <row r="78" spans="1:13" x14ac:dyDescent="0.35">
      <c r="A78" s="87">
        <v>45941</v>
      </c>
      <c r="B78" s="5" t="s">
        <v>183</v>
      </c>
      <c r="C78" s="5">
        <v>258</v>
      </c>
      <c r="D78" s="5" t="s">
        <v>179</v>
      </c>
      <c r="E78" s="5" t="s">
        <v>79</v>
      </c>
      <c r="F78" s="5" t="s">
        <v>211</v>
      </c>
      <c r="G78" s="5">
        <v>1</v>
      </c>
      <c r="H78" s="5">
        <v>20</v>
      </c>
      <c r="I78" s="5">
        <v>1300</v>
      </c>
      <c r="J78" s="5">
        <v>26000</v>
      </c>
      <c r="K78" s="88" t="s">
        <v>309</v>
      </c>
      <c r="L78" s="89">
        <v>2</v>
      </c>
      <c r="M78" s="5" t="s">
        <v>348</v>
      </c>
    </row>
    <row r="79" spans="1:13" x14ac:dyDescent="0.35">
      <c r="A79" s="87">
        <v>45941</v>
      </c>
      <c r="B79" s="5" t="s">
        <v>183</v>
      </c>
      <c r="C79" s="5">
        <v>258</v>
      </c>
      <c r="D79" s="5" t="s">
        <v>179</v>
      </c>
      <c r="E79" s="5" t="s">
        <v>79</v>
      </c>
      <c r="F79" s="5" t="s">
        <v>210</v>
      </c>
      <c r="G79" s="5">
        <v>1</v>
      </c>
      <c r="H79" s="5">
        <v>70</v>
      </c>
      <c r="I79" s="5">
        <v>477</v>
      </c>
      <c r="J79" s="5">
        <v>33390</v>
      </c>
      <c r="K79" s="88" t="s">
        <v>309</v>
      </c>
      <c r="L79" s="89">
        <v>2</v>
      </c>
      <c r="M79" s="5" t="s">
        <v>349</v>
      </c>
    </row>
    <row r="80" spans="1:13" x14ac:dyDescent="0.35">
      <c r="A80" s="213">
        <v>45941</v>
      </c>
      <c r="B80" s="214" t="s">
        <v>183</v>
      </c>
      <c r="C80" s="214">
        <v>258</v>
      </c>
      <c r="D80" s="214" t="s">
        <v>179</v>
      </c>
      <c r="E80" s="214" t="s">
        <v>79</v>
      </c>
      <c r="F80" s="214" t="s">
        <v>209</v>
      </c>
      <c r="G80" s="214">
        <v>1</v>
      </c>
      <c r="H80" s="214">
        <v>25</v>
      </c>
      <c r="I80" s="215">
        <v>1050</v>
      </c>
      <c r="J80" s="215">
        <v>26250</v>
      </c>
      <c r="K80" s="216" t="s">
        <v>309</v>
      </c>
      <c r="L80" s="217">
        <v>2</v>
      </c>
      <c r="M80" s="5" t="s">
        <v>350</v>
      </c>
    </row>
    <row r="81" spans="1:13" x14ac:dyDescent="0.35">
      <c r="A81" s="87">
        <v>45942</v>
      </c>
      <c r="B81" s="5" t="s">
        <v>183</v>
      </c>
      <c r="C81" s="5">
        <v>110</v>
      </c>
      <c r="D81" s="5" t="s">
        <v>179</v>
      </c>
      <c r="E81" s="5" t="s">
        <v>79</v>
      </c>
      <c r="F81" s="5" t="s">
        <v>178</v>
      </c>
      <c r="G81" s="5">
        <v>1</v>
      </c>
      <c r="H81" s="5">
        <v>3000</v>
      </c>
      <c r="I81" s="5">
        <v>118</v>
      </c>
      <c r="J81" s="5">
        <v>354000</v>
      </c>
      <c r="K81" s="88" t="s">
        <v>309</v>
      </c>
      <c r="L81" s="89">
        <v>2</v>
      </c>
      <c r="M81" s="5" t="s">
        <v>313</v>
      </c>
    </row>
    <row r="82" spans="1:13" x14ac:dyDescent="0.35">
      <c r="A82" s="213">
        <v>45943</v>
      </c>
      <c r="B82" s="214" t="s">
        <v>183</v>
      </c>
      <c r="C82" s="214">
        <v>115</v>
      </c>
      <c r="D82" s="214" t="s">
        <v>179</v>
      </c>
      <c r="E82" s="214" t="s">
        <v>79</v>
      </c>
      <c r="F82" s="214" t="s">
        <v>178</v>
      </c>
      <c r="G82" s="214">
        <v>1</v>
      </c>
      <c r="H82" s="214">
        <v>3000</v>
      </c>
      <c r="I82" s="215">
        <v>118</v>
      </c>
      <c r="J82" s="215">
        <v>354000</v>
      </c>
      <c r="K82" s="216" t="s">
        <v>309</v>
      </c>
      <c r="L82" s="217">
        <v>2</v>
      </c>
      <c r="M82" s="5" t="s">
        <v>344</v>
      </c>
    </row>
    <row r="83" spans="1:13" x14ac:dyDescent="0.35">
      <c r="A83" s="87">
        <v>45947</v>
      </c>
      <c r="B83" s="5" t="s">
        <v>183</v>
      </c>
      <c r="C83" s="5" t="s">
        <v>443</v>
      </c>
      <c r="D83" s="5" t="s">
        <v>457</v>
      </c>
      <c r="E83" s="5" t="s">
        <v>84</v>
      </c>
      <c r="F83" s="5" t="s">
        <v>409</v>
      </c>
      <c r="G83" s="5">
        <v>-1</v>
      </c>
      <c r="H83" s="5">
        <v>2313</v>
      </c>
      <c r="I83" s="5">
        <v>300.88495460440987</v>
      </c>
      <c r="J83" s="5">
        <v>-695946.9</v>
      </c>
      <c r="K83" s="88" t="s">
        <v>458</v>
      </c>
      <c r="L83" s="89">
        <v>2</v>
      </c>
      <c r="M83" s="5" t="s">
        <v>461</v>
      </c>
    </row>
    <row r="84" spans="1:13" x14ac:dyDescent="0.35">
      <c r="A84" s="87">
        <v>45948</v>
      </c>
      <c r="B84" s="5" t="s">
        <v>206</v>
      </c>
      <c r="C84" s="5">
        <v>7</v>
      </c>
      <c r="D84" s="5" t="s">
        <v>413</v>
      </c>
      <c r="E84" s="5" t="s">
        <v>87</v>
      </c>
      <c r="F84" s="5" t="s">
        <v>410</v>
      </c>
      <c r="G84" s="5">
        <v>1</v>
      </c>
      <c r="H84" s="5">
        <v>2400</v>
      </c>
      <c r="I84" s="5">
        <v>50</v>
      </c>
      <c r="J84" s="5">
        <v>120000</v>
      </c>
      <c r="K84" s="88" t="s">
        <v>418</v>
      </c>
      <c r="L84" s="89">
        <v>2</v>
      </c>
      <c r="M84" s="5" t="s">
        <v>521</v>
      </c>
    </row>
    <row r="85" spans="1:13" x14ac:dyDescent="0.35">
      <c r="A85" s="87">
        <v>45948</v>
      </c>
      <c r="B85" s="5" t="s">
        <v>206</v>
      </c>
      <c r="C85" s="5">
        <v>7</v>
      </c>
      <c r="D85" s="5" t="s">
        <v>411</v>
      </c>
      <c r="E85" s="5" t="s">
        <v>79</v>
      </c>
      <c r="F85" s="5" t="s">
        <v>178</v>
      </c>
      <c r="G85" s="5">
        <v>-1</v>
      </c>
      <c r="H85" s="5">
        <v>4000</v>
      </c>
      <c r="I85" s="5">
        <v>113.533333333333</v>
      </c>
      <c r="J85" s="5">
        <v>-454133.33333333203</v>
      </c>
      <c r="K85" s="88" t="s">
        <v>418</v>
      </c>
      <c r="L85" s="89">
        <v>2</v>
      </c>
      <c r="M85" s="5" t="s">
        <v>519</v>
      </c>
    </row>
    <row r="86" spans="1:13" x14ac:dyDescent="0.35">
      <c r="A86" s="87">
        <v>45948</v>
      </c>
      <c r="B86" s="5" t="s">
        <v>206</v>
      </c>
      <c r="C86" s="5">
        <v>7</v>
      </c>
      <c r="D86" s="5" t="s">
        <v>412</v>
      </c>
      <c r="E86" s="5" t="s">
        <v>84</v>
      </c>
      <c r="F86" s="5" t="s">
        <v>409</v>
      </c>
      <c r="G86" s="5">
        <v>1</v>
      </c>
      <c r="H86" s="5">
        <v>1600</v>
      </c>
      <c r="I86" s="5">
        <v>208.833333333333</v>
      </c>
      <c r="J86" s="5">
        <v>334133.33333333279</v>
      </c>
      <c r="K86" s="88" t="s">
        <v>418</v>
      </c>
      <c r="L86" s="89">
        <v>2</v>
      </c>
      <c r="M86" s="5" t="s">
        <v>520</v>
      </c>
    </row>
    <row r="87" spans="1:13" x14ac:dyDescent="0.35">
      <c r="A87" s="87">
        <v>45962</v>
      </c>
      <c r="B87" s="5" t="s">
        <v>206</v>
      </c>
      <c r="C87" s="5">
        <v>8</v>
      </c>
      <c r="D87" s="5" t="s">
        <v>413</v>
      </c>
      <c r="E87" s="5" t="s">
        <v>87</v>
      </c>
      <c r="F87" s="5" t="s">
        <v>410</v>
      </c>
      <c r="G87" s="5">
        <v>1</v>
      </c>
      <c r="H87" s="5">
        <v>1800</v>
      </c>
      <c r="I87" s="5">
        <v>50</v>
      </c>
      <c r="J87" s="5">
        <v>90000</v>
      </c>
      <c r="K87" s="88" t="s">
        <v>418</v>
      </c>
      <c r="L87" s="89">
        <v>2</v>
      </c>
      <c r="M87" s="5" t="s">
        <v>524</v>
      </c>
    </row>
    <row r="88" spans="1:13" x14ac:dyDescent="0.35">
      <c r="A88" s="87">
        <v>45962</v>
      </c>
      <c r="B88" s="5" t="s">
        <v>206</v>
      </c>
      <c r="C88" s="5">
        <v>8</v>
      </c>
      <c r="D88" s="5" t="s">
        <v>411</v>
      </c>
      <c r="E88" s="5" t="s">
        <v>79</v>
      </c>
      <c r="F88" s="5" t="s">
        <v>178</v>
      </c>
      <c r="G88" s="5">
        <v>-1</v>
      </c>
      <c r="H88" s="5">
        <v>3000</v>
      </c>
      <c r="I88" s="5">
        <v>113.533333333333</v>
      </c>
      <c r="J88" s="5">
        <v>-340599.99999999901</v>
      </c>
      <c r="K88" s="88" t="s">
        <v>418</v>
      </c>
      <c r="L88" s="89">
        <v>2</v>
      </c>
      <c r="M88" s="5" t="s">
        <v>522</v>
      </c>
    </row>
    <row r="89" spans="1:13" x14ac:dyDescent="0.35">
      <c r="A89" s="87">
        <v>45962</v>
      </c>
      <c r="B89" s="5" t="s">
        <v>206</v>
      </c>
      <c r="C89" s="5">
        <v>8</v>
      </c>
      <c r="D89" s="5" t="s">
        <v>412</v>
      </c>
      <c r="E89" s="5" t="s">
        <v>84</v>
      </c>
      <c r="F89" s="5" t="s">
        <v>409</v>
      </c>
      <c r="G89" s="5">
        <v>1</v>
      </c>
      <c r="H89" s="5">
        <v>1200</v>
      </c>
      <c r="I89" s="5">
        <v>208.833333333333</v>
      </c>
      <c r="J89" s="5">
        <v>250599.99999999959</v>
      </c>
      <c r="K89" s="88" t="s">
        <v>418</v>
      </c>
      <c r="L89" s="89">
        <v>2</v>
      </c>
      <c r="M89" s="5" t="s">
        <v>523</v>
      </c>
    </row>
    <row r="90" spans="1:13" x14ac:dyDescent="0.35">
      <c r="A90" s="87">
        <v>45962</v>
      </c>
      <c r="B90" s="5" t="s">
        <v>206</v>
      </c>
      <c r="C90" s="5">
        <v>150</v>
      </c>
      <c r="D90" s="5" t="s">
        <v>179</v>
      </c>
      <c r="E90" s="5" t="s">
        <v>79</v>
      </c>
      <c r="F90" s="5" t="s">
        <v>178</v>
      </c>
      <c r="G90" s="5">
        <v>1</v>
      </c>
      <c r="H90" s="5">
        <v>3000</v>
      </c>
      <c r="I90" s="5">
        <v>119</v>
      </c>
      <c r="J90" s="5">
        <v>357000</v>
      </c>
      <c r="K90" s="88" t="s">
        <v>309</v>
      </c>
      <c r="L90" s="89">
        <v>2</v>
      </c>
      <c r="M90" s="5" t="s">
        <v>346</v>
      </c>
    </row>
    <row r="91" spans="1:13" x14ac:dyDescent="0.35">
      <c r="A91" s="87">
        <v>45965</v>
      </c>
      <c r="B91" s="5" t="s">
        <v>206</v>
      </c>
      <c r="C91" s="5">
        <v>147</v>
      </c>
      <c r="D91" s="5" t="s">
        <v>179</v>
      </c>
      <c r="E91" s="5" t="s">
        <v>79</v>
      </c>
      <c r="F91" s="5" t="s">
        <v>178</v>
      </c>
      <c r="G91" s="5">
        <v>1</v>
      </c>
      <c r="H91" s="5">
        <v>3000</v>
      </c>
      <c r="I91" s="5">
        <v>95</v>
      </c>
      <c r="J91" s="5">
        <v>285000</v>
      </c>
      <c r="K91" s="88" t="s">
        <v>309</v>
      </c>
      <c r="L91" s="89">
        <v>2</v>
      </c>
      <c r="M91" s="5" t="s">
        <v>347</v>
      </c>
    </row>
    <row r="92" spans="1:13" x14ac:dyDescent="0.35">
      <c r="A92" s="87">
        <v>45966</v>
      </c>
      <c r="B92" s="5" t="s">
        <v>206</v>
      </c>
      <c r="C92" s="5">
        <v>152</v>
      </c>
      <c r="D92" s="5" t="s">
        <v>179</v>
      </c>
      <c r="E92" s="5" t="s">
        <v>79</v>
      </c>
      <c r="F92" s="5" t="s">
        <v>178</v>
      </c>
      <c r="G92" s="5">
        <v>1</v>
      </c>
      <c r="H92" s="5">
        <v>3000</v>
      </c>
      <c r="I92" s="5">
        <v>119</v>
      </c>
      <c r="J92" s="5">
        <v>357000</v>
      </c>
      <c r="K92" s="88" t="s">
        <v>309</v>
      </c>
      <c r="L92" s="89">
        <v>2</v>
      </c>
      <c r="M92" s="5" t="s">
        <v>343</v>
      </c>
    </row>
    <row r="93" spans="1:13" x14ac:dyDescent="0.35">
      <c r="A93" s="87">
        <v>45977</v>
      </c>
      <c r="B93" s="5" t="s">
        <v>206</v>
      </c>
      <c r="C93" s="5" t="s">
        <v>445</v>
      </c>
      <c r="D93" s="5" t="s">
        <v>457</v>
      </c>
      <c r="E93" s="5" t="s">
        <v>84</v>
      </c>
      <c r="F93" s="5" t="s">
        <v>409</v>
      </c>
      <c r="G93" s="5">
        <v>-1</v>
      </c>
      <c r="H93" s="5">
        <v>4503</v>
      </c>
      <c r="I93" s="5">
        <v>300.88495669553629</v>
      </c>
      <c r="J93" s="5">
        <v>-1354884.96</v>
      </c>
      <c r="K93" s="88" t="s">
        <v>458</v>
      </c>
      <c r="L93" s="89">
        <v>2</v>
      </c>
      <c r="M93" s="5" t="s">
        <v>462</v>
      </c>
    </row>
    <row r="94" spans="1:13" x14ac:dyDescent="0.35">
      <c r="A94" s="87">
        <v>45979</v>
      </c>
      <c r="B94" s="5" t="s">
        <v>184</v>
      </c>
      <c r="C94" s="5">
        <v>9</v>
      </c>
      <c r="D94" s="5" t="s">
        <v>413</v>
      </c>
      <c r="E94" s="5" t="s">
        <v>87</v>
      </c>
      <c r="F94" s="5" t="s">
        <v>410</v>
      </c>
      <c r="G94" s="5">
        <v>1</v>
      </c>
      <c r="H94" s="5">
        <v>2100</v>
      </c>
      <c r="I94" s="5">
        <v>50</v>
      </c>
      <c r="J94" s="5">
        <v>105000</v>
      </c>
      <c r="K94" s="88" t="s">
        <v>418</v>
      </c>
      <c r="L94" s="89">
        <v>2</v>
      </c>
      <c r="M94" s="5" t="s">
        <v>527</v>
      </c>
    </row>
    <row r="95" spans="1:13" x14ac:dyDescent="0.35">
      <c r="A95" s="87">
        <v>45979</v>
      </c>
      <c r="B95" s="5" t="s">
        <v>184</v>
      </c>
      <c r="C95" s="5">
        <v>9</v>
      </c>
      <c r="D95" s="5" t="s">
        <v>411</v>
      </c>
      <c r="E95" s="5" t="s">
        <v>79</v>
      </c>
      <c r="F95" s="5" t="s">
        <v>178</v>
      </c>
      <c r="G95" s="5">
        <v>-1</v>
      </c>
      <c r="H95" s="5">
        <v>3500</v>
      </c>
      <c r="I95" s="5">
        <v>112.9</v>
      </c>
      <c r="J95" s="5">
        <v>-395150</v>
      </c>
      <c r="K95" s="88" t="s">
        <v>418</v>
      </c>
      <c r="L95" s="89">
        <v>2</v>
      </c>
      <c r="M95" s="5" t="s">
        <v>525</v>
      </c>
    </row>
    <row r="96" spans="1:13" x14ac:dyDescent="0.35">
      <c r="A96" s="87">
        <v>45979</v>
      </c>
      <c r="B96" s="5" t="s">
        <v>184</v>
      </c>
      <c r="C96" s="5">
        <v>9</v>
      </c>
      <c r="D96" s="5" t="s">
        <v>412</v>
      </c>
      <c r="E96" s="5" t="s">
        <v>84</v>
      </c>
      <c r="F96" s="5" t="s">
        <v>409</v>
      </c>
      <c r="G96" s="5">
        <v>1</v>
      </c>
      <c r="H96" s="5">
        <v>1400</v>
      </c>
      <c r="I96" s="5">
        <v>207.25</v>
      </c>
      <c r="J96" s="5">
        <v>290150</v>
      </c>
      <c r="K96" s="88" t="s">
        <v>418</v>
      </c>
      <c r="L96" s="89">
        <v>2</v>
      </c>
      <c r="M96" s="5" t="s">
        <v>526</v>
      </c>
    </row>
    <row r="97" spans="1:13" x14ac:dyDescent="0.35">
      <c r="A97" s="87">
        <v>45987</v>
      </c>
      <c r="B97" s="5" t="s">
        <v>184</v>
      </c>
      <c r="C97" s="5">
        <v>1505</v>
      </c>
      <c r="D97" s="5" t="s">
        <v>179</v>
      </c>
      <c r="E97" s="5" t="s">
        <v>79</v>
      </c>
      <c r="F97" s="5" t="s">
        <v>189</v>
      </c>
      <c r="G97" s="5">
        <v>1</v>
      </c>
      <c r="H97" s="5">
        <v>210</v>
      </c>
      <c r="I97" s="5">
        <v>141</v>
      </c>
      <c r="J97" s="5">
        <v>29610</v>
      </c>
      <c r="K97" s="88" t="s">
        <v>309</v>
      </c>
      <c r="L97" s="89">
        <v>2</v>
      </c>
      <c r="M97" s="5" t="s">
        <v>319</v>
      </c>
    </row>
    <row r="98" spans="1:13" x14ac:dyDescent="0.35">
      <c r="A98" s="87">
        <v>45987</v>
      </c>
      <c r="B98" s="5" t="s">
        <v>184</v>
      </c>
      <c r="C98" s="5">
        <v>1505</v>
      </c>
      <c r="D98" s="5" t="s">
        <v>179</v>
      </c>
      <c r="E98" s="5" t="s">
        <v>79</v>
      </c>
      <c r="F98" s="5" t="s">
        <v>197</v>
      </c>
      <c r="G98" s="5">
        <v>1</v>
      </c>
      <c r="H98" s="5">
        <v>100</v>
      </c>
      <c r="I98" s="5">
        <v>176</v>
      </c>
      <c r="J98" s="5">
        <v>17600</v>
      </c>
      <c r="K98" s="88" t="s">
        <v>309</v>
      </c>
      <c r="L98" s="89">
        <v>2</v>
      </c>
      <c r="M98" s="5" t="s">
        <v>320</v>
      </c>
    </row>
    <row r="99" spans="1:13" x14ac:dyDescent="0.35">
      <c r="A99" s="87">
        <v>45987</v>
      </c>
      <c r="B99" s="5" t="s">
        <v>184</v>
      </c>
      <c r="C99" s="5">
        <v>1505</v>
      </c>
      <c r="D99" s="5" t="s">
        <v>179</v>
      </c>
      <c r="E99" s="5" t="s">
        <v>79</v>
      </c>
      <c r="F99" s="5" t="s">
        <v>198</v>
      </c>
      <c r="G99" s="5">
        <v>1</v>
      </c>
      <c r="H99" s="5">
        <v>75</v>
      </c>
      <c r="I99" s="5">
        <v>156</v>
      </c>
      <c r="J99" s="5">
        <v>11700</v>
      </c>
      <c r="K99" s="88" t="s">
        <v>309</v>
      </c>
      <c r="L99" s="89">
        <v>2</v>
      </c>
      <c r="M99" s="5" t="s">
        <v>321</v>
      </c>
    </row>
    <row r="100" spans="1:13" x14ac:dyDescent="0.35">
      <c r="A100" s="87">
        <v>45987</v>
      </c>
      <c r="B100" s="5" t="s">
        <v>184</v>
      </c>
      <c r="C100" s="5">
        <v>1505</v>
      </c>
      <c r="D100" s="5" t="s">
        <v>179</v>
      </c>
      <c r="E100" s="5" t="s">
        <v>79</v>
      </c>
      <c r="F100" s="5" t="s">
        <v>204</v>
      </c>
      <c r="G100" s="5">
        <v>1</v>
      </c>
      <c r="H100" s="5">
        <v>150</v>
      </c>
      <c r="I100" s="5">
        <v>167</v>
      </c>
      <c r="J100" s="5">
        <v>25050</v>
      </c>
      <c r="K100" s="88" t="s">
        <v>309</v>
      </c>
      <c r="L100" s="89">
        <v>2</v>
      </c>
      <c r="M100" s="5" t="s">
        <v>322</v>
      </c>
    </row>
    <row r="101" spans="1:13" x14ac:dyDescent="0.35">
      <c r="A101" s="87">
        <v>45987</v>
      </c>
      <c r="B101" s="5" t="s">
        <v>184</v>
      </c>
      <c r="C101" s="5">
        <v>1505</v>
      </c>
      <c r="D101" s="5" t="s">
        <v>179</v>
      </c>
      <c r="E101" s="5" t="s">
        <v>79</v>
      </c>
      <c r="F101" s="5" t="s">
        <v>200</v>
      </c>
      <c r="G101" s="5">
        <v>1</v>
      </c>
      <c r="H101" s="5">
        <v>75</v>
      </c>
      <c r="I101" s="5">
        <v>101</v>
      </c>
      <c r="J101" s="5">
        <v>7575</v>
      </c>
      <c r="K101" s="88" t="s">
        <v>309</v>
      </c>
      <c r="L101" s="89">
        <v>2</v>
      </c>
      <c r="M101" s="5" t="s">
        <v>323</v>
      </c>
    </row>
    <row r="102" spans="1:13" x14ac:dyDescent="0.35">
      <c r="A102" s="87">
        <v>45987</v>
      </c>
      <c r="B102" s="5" t="s">
        <v>184</v>
      </c>
      <c r="C102" s="5">
        <v>1505</v>
      </c>
      <c r="D102" s="5" t="s">
        <v>179</v>
      </c>
      <c r="E102" s="5" t="s">
        <v>79</v>
      </c>
      <c r="F102" s="5" t="s">
        <v>193</v>
      </c>
      <c r="G102" s="5">
        <v>1</v>
      </c>
      <c r="H102" s="5">
        <v>150</v>
      </c>
      <c r="I102" s="5">
        <v>101</v>
      </c>
      <c r="J102" s="5">
        <v>15150</v>
      </c>
      <c r="K102" s="88" t="s">
        <v>309</v>
      </c>
      <c r="L102" s="89">
        <v>2</v>
      </c>
      <c r="M102" s="5" t="s">
        <v>324</v>
      </c>
    </row>
    <row r="103" spans="1:13" x14ac:dyDescent="0.35">
      <c r="A103" s="87">
        <v>45987</v>
      </c>
      <c r="B103" s="5" t="s">
        <v>184</v>
      </c>
      <c r="C103" s="5">
        <v>1505</v>
      </c>
      <c r="D103" s="5" t="s">
        <v>179</v>
      </c>
      <c r="E103" s="5" t="s">
        <v>79</v>
      </c>
      <c r="F103" s="5" t="s">
        <v>201</v>
      </c>
      <c r="G103" s="5">
        <v>1</v>
      </c>
      <c r="H103" s="5">
        <v>60</v>
      </c>
      <c r="I103" s="5">
        <v>113</v>
      </c>
      <c r="J103" s="5">
        <v>6780</v>
      </c>
      <c r="K103" s="88" t="s">
        <v>309</v>
      </c>
      <c r="L103" s="89">
        <v>2</v>
      </c>
      <c r="M103" s="5" t="s">
        <v>325</v>
      </c>
    </row>
    <row r="104" spans="1:13" x14ac:dyDescent="0.35">
      <c r="A104" s="87">
        <v>45987</v>
      </c>
      <c r="B104" s="5" t="s">
        <v>184</v>
      </c>
      <c r="C104" s="5">
        <v>1505</v>
      </c>
      <c r="D104" s="5" t="s">
        <v>179</v>
      </c>
      <c r="E104" s="5" t="s">
        <v>79</v>
      </c>
      <c r="F104" s="5" t="s">
        <v>202</v>
      </c>
      <c r="G104" s="5">
        <v>1</v>
      </c>
      <c r="H104" s="5">
        <v>150</v>
      </c>
      <c r="I104" s="5">
        <v>131.5</v>
      </c>
      <c r="J104" s="5">
        <v>19725</v>
      </c>
      <c r="K104" s="88" t="s">
        <v>309</v>
      </c>
      <c r="L104" s="89">
        <v>2</v>
      </c>
      <c r="M104" s="5" t="s">
        <v>326</v>
      </c>
    </row>
    <row r="105" spans="1:13" x14ac:dyDescent="0.35">
      <c r="A105" s="87">
        <v>45987</v>
      </c>
      <c r="B105" s="5" t="s">
        <v>184</v>
      </c>
      <c r="C105" s="5">
        <v>1505</v>
      </c>
      <c r="D105" s="5" t="s">
        <v>179</v>
      </c>
      <c r="E105" s="5" t="s">
        <v>79</v>
      </c>
      <c r="F105" s="5" t="s">
        <v>203</v>
      </c>
      <c r="G105" s="5">
        <v>1</v>
      </c>
      <c r="H105" s="5">
        <v>125</v>
      </c>
      <c r="I105" s="5">
        <v>131</v>
      </c>
      <c r="J105" s="5">
        <v>16375</v>
      </c>
      <c r="K105" s="88" t="s">
        <v>309</v>
      </c>
      <c r="L105" s="89">
        <v>2</v>
      </c>
      <c r="M105" s="5" t="s">
        <v>327</v>
      </c>
    </row>
    <row r="106" spans="1:13" x14ac:dyDescent="0.35">
      <c r="A106" s="87">
        <v>45987</v>
      </c>
      <c r="B106" s="5" t="s">
        <v>184</v>
      </c>
      <c r="C106" s="5">
        <v>1505</v>
      </c>
      <c r="D106" s="5" t="s">
        <v>179</v>
      </c>
      <c r="E106" s="5" t="s">
        <v>79</v>
      </c>
      <c r="F106" s="5" t="s">
        <v>199</v>
      </c>
      <c r="G106" s="5">
        <v>1</v>
      </c>
      <c r="H106" s="5">
        <v>75</v>
      </c>
      <c r="I106" s="5">
        <v>156</v>
      </c>
      <c r="J106" s="5">
        <v>11700</v>
      </c>
      <c r="K106" s="88" t="s">
        <v>309</v>
      </c>
      <c r="L106" s="89">
        <v>2</v>
      </c>
      <c r="M106" s="5" t="s">
        <v>328</v>
      </c>
    </row>
    <row r="107" spans="1:13" x14ac:dyDescent="0.35">
      <c r="A107" s="87">
        <v>45991</v>
      </c>
      <c r="B107" s="5" t="s">
        <v>184</v>
      </c>
      <c r="C107" s="5">
        <v>181</v>
      </c>
      <c r="D107" s="5" t="s">
        <v>179</v>
      </c>
      <c r="E107" s="5" t="s">
        <v>79</v>
      </c>
      <c r="F107" s="5" t="s">
        <v>178</v>
      </c>
      <c r="G107" s="5">
        <v>1</v>
      </c>
      <c r="H107" s="5">
        <v>3000</v>
      </c>
      <c r="I107" s="5">
        <v>118.5</v>
      </c>
      <c r="J107" s="5">
        <v>355500</v>
      </c>
      <c r="K107" s="88" t="s">
        <v>309</v>
      </c>
      <c r="L107" s="89">
        <v>2</v>
      </c>
      <c r="M107" s="5" t="s">
        <v>340</v>
      </c>
    </row>
    <row r="108" spans="1:13" x14ac:dyDescent="0.35">
      <c r="A108" s="87">
        <v>45992</v>
      </c>
      <c r="B108" s="5" t="s">
        <v>184</v>
      </c>
      <c r="C108" s="5">
        <v>10</v>
      </c>
      <c r="D108" s="5" t="s">
        <v>413</v>
      </c>
      <c r="E108" s="5" t="s">
        <v>87</v>
      </c>
      <c r="F108" s="5" t="s">
        <v>410</v>
      </c>
      <c r="G108" s="5">
        <v>1</v>
      </c>
      <c r="H108" s="5">
        <v>1500</v>
      </c>
      <c r="I108" s="5">
        <v>50</v>
      </c>
      <c r="J108" s="5">
        <v>75000</v>
      </c>
      <c r="K108" s="88" t="s">
        <v>418</v>
      </c>
      <c r="L108" s="89">
        <v>2</v>
      </c>
      <c r="M108" s="5" t="s">
        <v>530</v>
      </c>
    </row>
    <row r="109" spans="1:13" x14ac:dyDescent="0.35">
      <c r="A109" s="87">
        <v>45992</v>
      </c>
      <c r="B109" s="5" t="s">
        <v>184</v>
      </c>
      <c r="C109" s="5">
        <v>10</v>
      </c>
      <c r="D109" s="5" t="s">
        <v>411</v>
      </c>
      <c r="E109" s="5" t="s">
        <v>79</v>
      </c>
      <c r="F109" s="5" t="s">
        <v>178</v>
      </c>
      <c r="G109" s="5">
        <v>-1</v>
      </c>
      <c r="H109" s="5">
        <v>2500</v>
      </c>
      <c r="I109" s="5">
        <v>113.33076923076899</v>
      </c>
      <c r="J109" s="5">
        <v>-283326.92307692248</v>
      </c>
      <c r="K109" s="88" t="s">
        <v>418</v>
      </c>
      <c r="L109" s="89">
        <v>2</v>
      </c>
      <c r="M109" s="5" t="s">
        <v>528</v>
      </c>
    </row>
    <row r="110" spans="1:13" x14ac:dyDescent="0.35">
      <c r="A110" s="87">
        <v>45992</v>
      </c>
      <c r="B110" s="5" t="s">
        <v>184</v>
      </c>
      <c r="C110" s="5">
        <v>10</v>
      </c>
      <c r="D110" s="5" t="s">
        <v>412</v>
      </c>
      <c r="E110" s="5" t="s">
        <v>84</v>
      </c>
      <c r="F110" s="5" t="s">
        <v>409</v>
      </c>
      <c r="G110" s="5">
        <v>1</v>
      </c>
      <c r="H110" s="5">
        <v>1000</v>
      </c>
      <c r="I110" s="5">
        <v>208.32692307692301</v>
      </c>
      <c r="J110" s="5">
        <v>208326.92307692301</v>
      </c>
      <c r="K110" s="88" t="s">
        <v>418</v>
      </c>
      <c r="L110" s="89">
        <v>2</v>
      </c>
      <c r="M110" s="5" t="s">
        <v>529</v>
      </c>
    </row>
    <row r="111" spans="1:13" x14ac:dyDescent="0.35">
      <c r="A111" s="87">
        <v>45992</v>
      </c>
      <c r="B111" s="5" t="s">
        <v>184</v>
      </c>
      <c r="C111" s="5">
        <v>182</v>
      </c>
      <c r="D111" s="5" t="s">
        <v>179</v>
      </c>
      <c r="E111" s="5" t="s">
        <v>79</v>
      </c>
      <c r="F111" s="5" t="s">
        <v>178</v>
      </c>
      <c r="G111" s="5">
        <v>1</v>
      </c>
      <c r="H111" s="5">
        <v>3000</v>
      </c>
      <c r="I111" s="5">
        <v>118.5</v>
      </c>
      <c r="J111" s="5">
        <v>355500</v>
      </c>
      <c r="K111" s="88" t="s">
        <v>309</v>
      </c>
      <c r="L111" s="89">
        <v>2</v>
      </c>
      <c r="M111" s="5" t="s">
        <v>339</v>
      </c>
    </row>
    <row r="112" spans="1:13" x14ac:dyDescent="0.35">
      <c r="A112" s="87">
        <v>46001</v>
      </c>
      <c r="B112" s="5" t="s">
        <v>184</v>
      </c>
      <c r="C112" s="5">
        <v>202</v>
      </c>
      <c r="D112" s="5" t="s">
        <v>179</v>
      </c>
      <c r="E112" s="5" t="s">
        <v>79</v>
      </c>
      <c r="F112" s="5" t="s">
        <v>182</v>
      </c>
      <c r="G112" s="5">
        <v>1</v>
      </c>
      <c r="H112" s="5">
        <v>330</v>
      </c>
      <c r="I112" s="5">
        <v>105</v>
      </c>
      <c r="J112" s="5">
        <v>34650</v>
      </c>
      <c r="K112" s="88" t="s">
        <v>309</v>
      </c>
      <c r="L112" s="89">
        <v>2</v>
      </c>
      <c r="M112" s="5" t="s">
        <v>342</v>
      </c>
    </row>
    <row r="113" spans="1:13" x14ac:dyDescent="0.35">
      <c r="A113" s="87">
        <v>46003</v>
      </c>
      <c r="B113" s="5" t="s">
        <v>184</v>
      </c>
      <c r="C113" s="5">
        <v>208</v>
      </c>
      <c r="D113" s="5" t="s">
        <v>179</v>
      </c>
      <c r="E113" s="5" t="s">
        <v>79</v>
      </c>
      <c r="F113" s="5" t="s">
        <v>178</v>
      </c>
      <c r="G113" s="5">
        <v>1</v>
      </c>
      <c r="H113" s="5">
        <v>3050</v>
      </c>
      <c r="I113" s="5">
        <v>118.5</v>
      </c>
      <c r="J113" s="5">
        <v>361425</v>
      </c>
      <c r="K113" s="88" t="s">
        <v>309</v>
      </c>
      <c r="L113" s="89">
        <v>2</v>
      </c>
      <c r="M113" s="5" t="s">
        <v>314</v>
      </c>
    </row>
    <row r="114" spans="1:13" x14ac:dyDescent="0.35">
      <c r="A114" s="87">
        <v>46003</v>
      </c>
      <c r="B114" s="5" t="s">
        <v>184</v>
      </c>
      <c r="C114" s="5">
        <v>209</v>
      </c>
      <c r="D114" s="5" t="s">
        <v>179</v>
      </c>
      <c r="E114" s="5" t="s">
        <v>79</v>
      </c>
      <c r="F114" s="5" t="s">
        <v>178</v>
      </c>
      <c r="G114" s="5">
        <v>1</v>
      </c>
      <c r="H114" s="5">
        <v>3000</v>
      </c>
      <c r="I114" s="5">
        <v>118.5</v>
      </c>
      <c r="J114" s="5">
        <v>355500</v>
      </c>
      <c r="K114" s="88" t="s">
        <v>309</v>
      </c>
      <c r="L114" s="89">
        <v>2</v>
      </c>
      <c r="M114" s="5" t="s">
        <v>351</v>
      </c>
    </row>
    <row r="115" spans="1:13" x14ac:dyDescent="0.35">
      <c r="A115" s="87">
        <v>46006</v>
      </c>
      <c r="B115" s="5" t="s">
        <v>184</v>
      </c>
      <c r="C115" s="5" t="s">
        <v>447</v>
      </c>
      <c r="D115" s="5" t="s">
        <v>457</v>
      </c>
      <c r="E115" s="5" t="s">
        <v>84</v>
      </c>
      <c r="F115" s="5" t="s">
        <v>409</v>
      </c>
      <c r="G115" s="5">
        <v>-1</v>
      </c>
      <c r="H115" s="5">
        <v>4752</v>
      </c>
      <c r="I115" s="5">
        <v>300.8849558080808</v>
      </c>
      <c r="J115" s="5">
        <v>-1429805.31</v>
      </c>
      <c r="K115" s="88" t="s">
        <v>458</v>
      </c>
      <c r="L115" s="89">
        <v>2</v>
      </c>
      <c r="M115" s="5" t="s">
        <v>463</v>
      </c>
    </row>
    <row r="116" spans="1:13" x14ac:dyDescent="0.35">
      <c r="A116" s="87">
        <v>46009</v>
      </c>
      <c r="B116" s="5" t="s">
        <v>177</v>
      </c>
      <c r="C116" s="5">
        <v>11</v>
      </c>
      <c r="D116" s="5" t="s">
        <v>413</v>
      </c>
      <c r="E116" s="5" t="s">
        <v>87</v>
      </c>
      <c r="F116" s="5" t="s">
        <v>410</v>
      </c>
      <c r="G116" s="5">
        <v>1</v>
      </c>
      <c r="H116" s="5">
        <v>1800</v>
      </c>
      <c r="I116" s="5">
        <v>50</v>
      </c>
      <c r="J116" s="5">
        <v>90000</v>
      </c>
      <c r="K116" s="88" t="s">
        <v>418</v>
      </c>
      <c r="L116" s="89">
        <v>2</v>
      </c>
      <c r="M116" s="5" t="s">
        <v>533</v>
      </c>
    </row>
    <row r="117" spans="1:13" x14ac:dyDescent="0.35">
      <c r="A117" s="87">
        <v>46009</v>
      </c>
      <c r="B117" s="5" t="s">
        <v>177</v>
      </c>
      <c r="C117" s="5">
        <v>11</v>
      </c>
      <c r="D117" s="5" t="s">
        <v>411</v>
      </c>
      <c r="E117" s="5" t="s">
        <v>79</v>
      </c>
      <c r="F117" s="5" t="s">
        <v>178</v>
      </c>
      <c r="G117" s="5">
        <v>-1</v>
      </c>
      <c r="H117" s="5">
        <v>3000</v>
      </c>
      <c r="I117" s="5">
        <v>114.30437044745101</v>
      </c>
      <c r="J117" s="5">
        <v>-342913.11134235305</v>
      </c>
      <c r="K117" s="88" t="s">
        <v>418</v>
      </c>
      <c r="L117" s="89">
        <v>2</v>
      </c>
      <c r="M117" s="5" t="s">
        <v>531</v>
      </c>
    </row>
    <row r="118" spans="1:13" x14ac:dyDescent="0.35">
      <c r="A118" s="87">
        <v>46009</v>
      </c>
      <c r="B118" s="5" t="s">
        <v>177</v>
      </c>
      <c r="C118" s="5">
        <v>11</v>
      </c>
      <c r="D118" s="5" t="s">
        <v>412</v>
      </c>
      <c r="E118" s="5" t="s">
        <v>84</v>
      </c>
      <c r="F118" s="5" t="s">
        <v>409</v>
      </c>
      <c r="G118" s="5">
        <v>1</v>
      </c>
      <c r="H118" s="5">
        <v>1200</v>
      </c>
      <c r="I118" s="5">
        <v>210.760926118626</v>
      </c>
      <c r="J118" s="5">
        <v>252913.11134235121</v>
      </c>
      <c r="K118" s="88" t="s">
        <v>418</v>
      </c>
      <c r="L118" s="89">
        <v>2</v>
      </c>
      <c r="M118" s="5" t="s">
        <v>532</v>
      </c>
    </row>
    <row r="119" spans="1:13" x14ac:dyDescent="0.35">
      <c r="A119" s="87">
        <v>46015</v>
      </c>
      <c r="B119" s="5" t="s">
        <v>177</v>
      </c>
      <c r="C119" s="5">
        <v>232</v>
      </c>
      <c r="D119" s="5" t="s">
        <v>179</v>
      </c>
      <c r="E119" s="5" t="s">
        <v>79</v>
      </c>
      <c r="F119" s="5" t="s">
        <v>178</v>
      </c>
      <c r="G119" s="5">
        <v>1</v>
      </c>
      <c r="H119" s="5">
        <v>3000</v>
      </c>
      <c r="I119" s="5">
        <v>115</v>
      </c>
      <c r="J119" s="5">
        <v>345000</v>
      </c>
      <c r="K119" s="88" t="s">
        <v>309</v>
      </c>
      <c r="L119" s="89">
        <v>2</v>
      </c>
      <c r="M119" s="5" t="s">
        <v>310</v>
      </c>
    </row>
    <row r="120" spans="1:13" x14ac:dyDescent="0.35">
      <c r="A120" s="213">
        <v>46017</v>
      </c>
      <c r="B120" s="214" t="s">
        <v>177</v>
      </c>
      <c r="C120" s="214">
        <v>236</v>
      </c>
      <c r="D120" s="214" t="s">
        <v>179</v>
      </c>
      <c r="E120" s="214" t="s">
        <v>79</v>
      </c>
      <c r="F120" s="214" t="s">
        <v>182</v>
      </c>
      <c r="G120" s="214">
        <v>1</v>
      </c>
      <c r="H120" s="214">
        <v>450</v>
      </c>
      <c r="I120" s="215">
        <v>105</v>
      </c>
      <c r="J120" s="215">
        <v>47250</v>
      </c>
      <c r="K120" s="216" t="s">
        <v>309</v>
      </c>
      <c r="L120" s="217">
        <v>2</v>
      </c>
      <c r="M120" s="5" t="s">
        <v>312</v>
      </c>
    </row>
    <row r="121" spans="1:13" x14ac:dyDescent="0.35">
      <c r="A121" s="87">
        <v>46023</v>
      </c>
      <c r="B121" s="5" t="s">
        <v>177</v>
      </c>
      <c r="C121" s="5">
        <v>12</v>
      </c>
      <c r="D121" s="5" t="s">
        <v>413</v>
      </c>
      <c r="E121" s="5" t="s">
        <v>87</v>
      </c>
      <c r="F121" s="5" t="s">
        <v>410</v>
      </c>
      <c r="G121" s="5">
        <v>1</v>
      </c>
      <c r="H121" s="5">
        <v>2400</v>
      </c>
      <c r="I121" s="5">
        <v>50</v>
      </c>
      <c r="J121" s="5">
        <v>120000</v>
      </c>
      <c r="K121" s="88" t="s">
        <v>418</v>
      </c>
      <c r="L121" s="89">
        <v>2</v>
      </c>
      <c r="M121" s="5" t="s">
        <v>536</v>
      </c>
    </row>
    <row r="122" spans="1:13" x14ac:dyDescent="0.35">
      <c r="A122" s="87">
        <v>46023</v>
      </c>
      <c r="B122" s="5" t="s">
        <v>177</v>
      </c>
      <c r="C122" s="5">
        <v>12</v>
      </c>
      <c r="D122" s="5" t="s">
        <v>411</v>
      </c>
      <c r="E122" s="5" t="s">
        <v>79</v>
      </c>
      <c r="F122" s="5" t="s">
        <v>178</v>
      </c>
      <c r="G122" s="5">
        <v>-1</v>
      </c>
      <c r="H122" s="5">
        <v>4000</v>
      </c>
      <c r="I122" s="5">
        <v>114.34524975514201</v>
      </c>
      <c r="J122" s="5">
        <v>-457380.99902056804</v>
      </c>
      <c r="K122" s="88" t="s">
        <v>418</v>
      </c>
      <c r="L122" s="89">
        <v>2</v>
      </c>
      <c r="M122" s="5" t="s">
        <v>534</v>
      </c>
    </row>
    <row r="123" spans="1:13" x14ac:dyDescent="0.35">
      <c r="A123" s="87">
        <v>46023</v>
      </c>
      <c r="B123" s="5" t="s">
        <v>177</v>
      </c>
      <c r="C123" s="5">
        <v>12</v>
      </c>
      <c r="D123" s="5" t="s">
        <v>412</v>
      </c>
      <c r="E123" s="5" t="s">
        <v>84</v>
      </c>
      <c r="F123" s="5" t="s">
        <v>409</v>
      </c>
      <c r="G123" s="5">
        <v>1</v>
      </c>
      <c r="H123" s="5">
        <v>1600</v>
      </c>
      <c r="I123" s="5">
        <v>210.86312438785501</v>
      </c>
      <c r="J123" s="5">
        <v>337380.99902056804</v>
      </c>
      <c r="K123" s="88" t="s">
        <v>418</v>
      </c>
      <c r="L123" s="89">
        <v>2</v>
      </c>
      <c r="M123" s="5" t="s">
        <v>535</v>
      </c>
    </row>
    <row r="124" spans="1:13" x14ac:dyDescent="0.35">
      <c r="A124" s="87">
        <v>46036</v>
      </c>
      <c r="B124" s="5" t="s">
        <v>177</v>
      </c>
      <c r="C124" s="5">
        <v>263</v>
      </c>
      <c r="D124" s="5" t="s">
        <v>179</v>
      </c>
      <c r="E124" s="5" t="s">
        <v>79</v>
      </c>
      <c r="F124" s="5" t="s">
        <v>178</v>
      </c>
      <c r="G124" s="5">
        <v>1</v>
      </c>
      <c r="H124" s="5">
        <v>3000</v>
      </c>
      <c r="I124" s="5">
        <v>117</v>
      </c>
      <c r="J124" s="5">
        <v>351000</v>
      </c>
      <c r="K124" s="88" t="s">
        <v>309</v>
      </c>
      <c r="L124" s="89">
        <v>2</v>
      </c>
      <c r="M124" s="5" t="s">
        <v>338</v>
      </c>
    </row>
    <row r="125" spans="1:13" x14ac:dyDescent="0.35">
      <c r="A125" s="87">
        <v>46036</v>
      </c>
      <c r="B125" s="5" t="s">
        <v>177</v>
      </c>
      <c r="C125" s="5" t="s">
        <v>449</v>
      </c>
      <c r="D125" s="5" t="s">
        <v>457</v>
      </c>
      <c r="E125" s="5" t="s">
        <v>84</v>
      </c>
      <c r="F125" s="5" t="s">
        <v>409</v>
      </c>
      <c r="G125" s="5">
        <v>-1</v>
      </c>
      <c r="H125" s="5">
        <v>2606</v>
      </c>
      <c r="I125" s="5">
        <v>300.8849539524175</v>
      </c>
      <c r="J125" s="5">
        <v>-784106.19</v>
      </c>
      <c r="K125" s="88" t="s">
        <v>458</v>
      </c>
      <c r="L125" s="89">
        <v>2</v>
      </c>
      <c r="M125" s="5" t="s">
        <v>464</v>
      </c>
    </row>
    <row r="126" spans="1:13" x14ac:dyDescent="0.35">
      <c r="A126" s="87">
        <v>46038</v>
      </c>
      <c r="B126" s="5" t="s">
        <v>186</v>
      </c>
      <c r="C126" s="5">
        <v>348</v>
      </c>
      <c r="D126" s="5" t="s">
        <v>179</v>
      </c>
      <c r="E126" s="5" t="s">
        <v>79</v>
      </c>
      <c r="F126" s="5" t="s">
        <v>178</v>
      </c>
      <c r="G126" s="5">
        <v>1</v>
      </c>
      <c r="H126" s="5">
        <v>3000</v>
      </c>
      <c r="I126" s="5">
        <v>112</v>
      </c>
      <c r="J126" s="5">
        <v>336000</v>
      </c>
      <c r="K126" s="88" t="s">
        <v>309</v>
      </c>
      <c r="L126" s="89">
        <v>2</v>
      </c>
      <c r="M126" s="5" t="s">
        <v>337</v>
      </c>
    </row>
    <row r="127" spans="1:13" x14ac:dyDescent="0.35">
      <c r="A127" s="87">
        <v>46040</v>
      </c>
      <c r="B127" s="5" t="s">
        <v>186</v>
      </c>
      <c r="C127" s="5">
        <v>13</v>
      </c>
      <c r="D127" s="5" t="s">
        <v>413</v>
      </c>
      <c r="E127" s="5" t="s">
        <v>87</v>
      </c>
      <c r="F127" s="5" t="s">
        <v>410</v>
      </c>
      <c r="G127" s="5">
        <v>1</v>
      </c>
      <c r="H127" s="5">
        <v>2700</v>
      </c>
      <c r="I127" s="5">
        <v>50</v>
      </c>
      <c r="J127" s="5">
        <v>135000</v>
      </c>
      <c r="K127" s="88" t="s">
        <v>418</v>
      </c>
      <c r="L127" s="89">
        <v>2</v>
      </c>
      <c r="M127" s="5" t="s">
        <v>539</v>
      </c>
    </row>
    <row r="128" spans="1:13" x14ac:dyDescent="0.35">
      <c r="A128" s="87">
        <v>46040</v>
      </c>
      <c r="B128" s="5" t="s">
        <v>186</v>
      </c>
      <c r="C128" s="5">
        <v>13</v>
      </c>
      <c r="D128" s="5" t="s">
        <v>411</v>
      </c>
      <c r="E128" s="5" t="s">
        <v>79</v>
      </c>
      <c r="F128" s="5" t="s">
        <v>178</v>
      </c>
      <c r="G128" s="5">
        <v>-1</v>
      </c>
      <c r="H128" s="5">
        <v>4500</v>
      </c>
      <c r="I128" s="5">
        <v>114.36152497808899</v>
      </c>
      <c r="J128" s="5">
        <v>-514626.86240140046</v>
      </c>
      <c r="K128" s="88" t="s">
        <v>418</v>
      </c>
      <c r="L128" s="89">
        <v>2</v>
      </c>
      <c r="M128" s="5" t="s">
        <v>537</v>
      </c>
    </row>
    <row r="129" spans="1:13" x14ac:dyDescent="0.35">
      <c r="A129" s="87">
        <v>46040</v>
      </c>
      <c r="B129" s="5" t="s">
        <v>186</v>
      </c>
      <c r="C129" s="5">
        <v>13</v>
      </c>
      <c r="D129" s="5" t="s">
        <v>412</v>
      </c>
      <c r="E129" s="5" t="s">
        <v>84</v>
      </c>
      <c r="F129" s="5" t="s">
        <v>409</v>
      </c>
      <c r="G129" s="5">
        <v>1</v>
      </c>
      <c r="H129" s="5">
        <v>1800</v>
      </c>
      <c r="I129" s="5">
        <v>210.90381244522399</v>
      </c>
      <c r="J129" s="5">
        <v>379626.8624014032</v>
      </c>
      <c r="K129" s="88" t="s">
        <v>418</v>
      </c>
      <c r="L129" s="89">
        <v>2</v>
      </c>
      <c r="M129" s="5" t="s">
        <v>538</v>
      </c>
    </row>
    <row r="130" spans="1:13" x14ac:dyDescent="0.35">
      <c r="A130" s="87">
        <v>46041</v>
      </c>
      <c r="B130" s="5" t="s">
        <v>186</v>
      </c>
      <c r="C130" s="5">
        <v>276</v>
      </c>
      <c r="D130" s="5" t="s">
        <v>179</v>
      </c>
      <c r="E130" s="5" t="s">
        <v>79</v>
      </c>
      <c r="F130" s="5" t="s">
        <v>178</v>
      </c>
      <c r="G130" s="5">
        <v>1</v>
      </c>
      <c r="H130" s="5">
        <v>3000</v>
      </c>
      <c r="I130" s="5">
        <v>108</v>
      </c>
      <c r="J130" s="5">
        <v>324000</v>
      </c>
      <c r="K130" s="88" t="s">
        <v>309</v>
      </c>
      <c r="L130" s="89">
        <v>2</v>
      </c>
      <c r="M130" s="5" t="s">
        <v>318</v>
      </c>
    </row>
    <row r="131" spans="1:13" x14ac:dyDescent="0.35">
      <c r="A131" s="87">
        <v>46041</v>
      </c>
      <c r="B131" s="5" t="s">
        <v>186</v>
      </c>
      <c r="C131" s="5">
        <v>275</v>
      </c>
      <c r="D131" s="5" t="s">
        <v>179</v>
      </c>
      <c r="E131" s="5" t="s">
        <v>79</v>
      </c>
      <c r="F131" s="5" t="s">
        <v>178</v>
      </c>
      <c r="G131" s="5">
        <v>1</v>
      </c>
      <c r="H131" s="5">
        <v>3000</v>
      </c>
      <c r="I131" s="5">
        <v>108</v>
      </c>
      <c r="J131" s="5">
        <v>324000</v>
      </c>
      <c r="K131" s="88" t="s">
        <v>309</v>
      </c>
      <c r="L131" s="89">
        <v>2</v>
      </c>
      <c r="M131" s="5" t="s">
        <v>341</v>
      </c>
    </row>
    <row r="132" spans="1:13" x14ac:dyDescent="0.35">
      <c r="A132" s="87">
        <v>46042</v>
      </c>
      <c r="B132" s="5" t="s">
        <v>186</v>
      </c>
      <c r="C132" s="5">
        <v>280</v>
      </c>
      <c r="D132" s="5" t="s">
        <v>179</v>
      </c>
      <c r="E132" s="5" t="s">
        <v>79</v>
      </c>
      <c r="F132" s="5" t="s">
        <v>178</v>
      </c>
      <c r="G132" s="5">
        <v>1</v>
      </c>
      <c r="H132" s="5">
        <v>3000</v>
      </c>
      <c r="I132" s="5">
        <v>108</v>
      </c>
      <c r="J132" s="5">
        <v>324000</v>
      </c>
      <c r="K132" s="88" t="s">
        <v>309</v>
      </c>
      <c r="L132" s="89">
        <v>2</v>
      </c>
      <c r="M132" s="5" t="s">
        <v>329</v>
      </c>
    </row>
    <row r="133" spans="1:13" x14ac:dyDescent="0.35">
      <c r="A133" s="87">
        <v>46043</v>
      </c>
      <c r="B133" s="5" t="s">
        <v>186</v>
      </c>
      <c r="C133" s="5">
        <v>300</v>
      </c>
      <c r="D133" s="5" t="s">
        <v>179</v>
      </c>
      <c r="E133" s="5" t="s">
        <v>79</v>
      </c>
      <c r="F133" s="5" t="s">
        <v>178</v>
      </c>
      <c r="G133" s="5">
        <v>1</v>
      </c>
      <c r="H133" s="5">
        <v>1000</v>
      </c>
      <c r="I133" s="5">
        <v>116</v>
      </c>
      <c r="J133" s="5">
        <v>116000</v>
      </c>
      <c r="K133" s="88" t="s">
        <v>309</v>
      </c>
      <c r="L133" s="89">
        <v>2</v>
      </c>
      <c r="M133" s="5" t="s">
        <v>334</v>
      </c>
    </row>
    <row r="134" spans="1:13" x14ac:dyDescent="0.35">
      <c r="A134" s="87">
        <v>46047</v>
      </c>
      <c r="B134" s="5" t="s">
        <v>205</v>
      </c>
      <c r="C134" s="5">
        <v>365</v>
      </c>
      <c r="D134" s="5" t="s">
        <v>179</v>
      </c>
      <c r="E134" s="5" t="s">
        <v>79</v>
      </c>
      <c r="F134" s="5" t="s">
        <v>178</v>
      </c>
      <c r="G134" s="5">
        <v>1</v>
      </c>
      <c r="H134" s="5">
        <v>750</v>
      </c>
      <c r="I134" s="5">
        <v>94</v>
      </c>
      <c r="J134" s="5">
        <v>70500</v>
      </c>
      <c r="K134" s="88" t="s">
        <v>309</v>
      </c>
      <c r="L134" s="89">
        <v>2</v>
      </c>
      <c r="M134" s="5" t="s">
        <v>333</v>
      </c>
    </row>
    <row r="135" spans="1:13" x14ac:dyDescent="0.35">
      <c r="A135" s="213">
        <v>46048</v>
      </c>
      <c r="B135" s="214" t="s">
        <v>186</v>
      </c>
      <c r="C135" s="214">
        <v>294</v>
      </c>
      <c r="D135" s="214" t="s">
        <v>179</v>
      </c>
      <c r="E135" s="214" t="s">
        <v>79</v>
      </c>
      <c r="F135" s="214" t="s">
        <v>178</v>
      </c>
      <c r="G135" s="214">
        <v>1</v>
      </c>
      <c r="H135" s="214">
        <v>3000</v>
      </c>
      <c r="I135" s="215">
        <v>116</v>
      </c>
      <c r="J135" s="215">
        <v>348000</v>
      </c>
      <c r="K135" s="216" t="s">
        <v>309</v>
      </c>
      <c r="L135" s="217">
        <v>2</v>
      </c>
      <c r="M135" s="5" t="s">
        <v>332</v>
      </c>
    </row>
    <row r="136" spans="1:13" x14ac:dyDescent="0.35">
      <c r="A136" s="87">
        <v>46052</v>
      </c>
      <c r="B136" s="5" t="s">
        <v>186</v>
      </c>
      <c r="C136" s="5">
        <v>308</v>
      </c>
      <c r="D136" s="5" t="s">
        <v>179</v>
      </c>
      <c r="E136" s="5" t="s">
        <v>79</v>
      </c>
      <c r="F136" s="5" t="s">
        <v>178</v>
      </c>
      <c r="G136" s="5">
        <v>1</v>
      </c>
      <c r="H136" s="5">
        <v>3000</v>
      </c>
      <c r="I136" s="5">
        <v>110</v>
      </c>
      <c r="J136" s="5">
        <v>330000</v>
      </c>
      <c r="K136" s="88" t="s">
        <v>309</v>
      </c>
      <c r="L136" s="89">
        <v>2</v>
      </c>
      <c r="M136" s="5" t="s">
        <v>330</v>
      </c>
    </row>
    <row r="137" spans="1:13" x14ac:dyDescent="0.35">
      <c r="A137" s="87">
        <v>46054</v>
      </c>
      <c r="B137" s="5" t="s">
        <v>186</v>
      </c>
      <c r="C137" s="5">
        <v>14</v>
      </c>
      <c r="D137" s="5" t="s">
        <v>413</v>
      </c>
      <c r="E137" s="5" t="s">
        <v>87</v>
      </c>
      <c r="F137" s="5" t="s">
        <v>410</v>
      </c>
      <c r="G137" s="5">
        <v>1</v>
      </c>
      <c r="H137" s="5">
        <v>1800</v>
      </c>
      <c r="I137" s="5">
        <v>50</v>
      </c>
      <c r="J137" s="5">
        <v>90000</v>
      </c>
      <c r="K137" s="88" t="s">
        <v>418</v>
      </c>
      <c r="L137" s="89">
        <v>2</v>
      </c>
      <c r="M137" s="5" t="s">
        <v>542</v>
      </c>
    </row>
    <row r="138" spans="1:13" x14ac:dyDescent="0.35">
      <c r="A138" s="87">
        <v>46054</v>
      </c>
      <c r="B138" s="5" t="s">
        <v>186</v>
      </c>
      <c r="C138" s="5">
        <v>14</v>
      </c>
      <c r="D138" s="5" t="s">
        <v>411</v>
      </c>
      <c r="E138" s="5" t="s">
        <v>79</v>
      </c>
      <c r="F138" s="5" t="s">
        <v>178</v>
      </c>
      <c r="G138" s="5">
        <v>-1</v>
      </c>
      <c r="H138" s="5">
        <v>3000</v>
      </c>
      <c r="I138" s="5">
        <v>113.290311653117</v>
      </c>
      <c r="J138" s="5">
        <v>-339870.93495935103</v>
      </c>
      <c r="K138" s="88" t="s">
        <v>418</v>
      </c>
      <c r="L138" s="89">
        <v>2</v>
      </c>
      <c r="M138" s="5" t="s">
        <v>540</v>
      </c>
    </row>
    <row r="139" spans="1:13" x14ac:dyDescent="0.35">
      <c r="A139" s="87">
        <v>46054</v>
      </c>
      <c r="B139" s="5" t="s">
        <v>186</v>
      </c>
      <c r="C139" s="5">
        <v>14</v>
      </c>
      <c r="D139" s="5" t="s">
        <v>412</v>
      </c>
      <c r="E139" s="5" t="s">
        <v>84</v>
      </c>
      <c r="F139" s="5" t="s">
        <v>409</v>
      </c>
      <c r="G139" s="5">
        <v>1</v>
      </c>
      <c r="H139" s="5">
        <v>1200</v>
      </c>
      <c r="I139" s="5">
        <v>208.22577913279099</v>
      </c>
      <c r="J139" s="5">
        <v>249870.93495934919</v>
      </c>
      <c r="K139" s="88" t="s">
        <v>418</v>
      </c>
      <c r="L139" s="89">
        <v>2</v>
      </c>
      <c r="M139" s="5" t="s">
        <v>541</v>
      </c>
    </row>
    <row r="140" spans="1:13" x14ac:dyDescent="0.35">
      <c r="A140" s="87">
        <v>46063</v>
      </c>
      <c r="B140" s="5" t="s">
        <v>186</v>
      </c>
      <c r="C140" s="5">
        <v>328</v>
      </c>
      <c r="D140" s="5" t="s">
        <v>179</v>
      </c>
      <c r="E140" s="5" t="s">
        <v>79</v>
      </c>
      <c r="F140" s="5" t="s">
        <v>178</v>
      </c>
      <c r="G140" s="5">
        <v>1</v>
      </c>
      <c r="H140" s="5">
        <v>3000</v>
      </c>
      <c r="I140" s="5">
        <v>110</v>
      </c>
      <c r="J140" s="5">
        <v>330000</v>
      </c>
      <c r="K140" s="88" t="s">
        <v>309</v>
      </c>
      <c r="L140" s="89">
        <v>2</v>
      </c>
      <c r="M140" s="5" t="s">
        <v>335</v>
      </c>
    </row>
    <row r="141" spans="1:13" x14ac:dyDescent="0.35">
      <c r="A141" s="87">
        <v>46065</v>
      </c>
      <c r="B141" s="5" t="s">
        <v>186</v>
      </c>
      <c r="C141" s="5" t="s">
        <v>451</v>
      </c>
      <c r="D141" s="5" t="s">
        <v>457</v>
      </c>
      <c r="E141" s="5" t="s">
        <v>84</v>
      </c>
      <c r="F141" s="5" t="s">
        <v>409</v>
      </c>
      <c r="G141" s="5">
        <v>-1</v>
      </c>
      <c r="H141" s="5">
        <v>7124</v>
      </c>
      <c r="I141" s="5">
        <v>300.88495508141494</v>
      </c>
      <c r="J141" s="5">
        <v>-2143504.42</v>
      </c>
      <c r="K141" s="88" t="s">
        <v>458</v>
      </c>
      <c r="L141" s="89">
        <v>2</v>
      </c>
      <c r="M141" s="5" t="s">
        <v>465</v>
      </c>
    </row>
    <row r="142" spans="1:13" x14ac:dyDescent="0.35">
      <c r="A142" s="213">
        <v>46071</v>
      </c>
      <c r="B142" s="214" t="s">
        <v>205</v>
      </c>
      <c r="C142" s="214">
        <v>15</v>
      </c>
      <c r="D142" s="214" t="s">
        <v>413</v>
      </c>
      <c r="E142" s="214" t="s">
        <v>87</v>
      </c>
      <c r="F142" s="214" t="s">
        <v>410</v>
      </c>
      <c r="G142" s="214">
        <v>1</v>
      </c>
      <c r="H142" s="214">
        <v>1440</v>
      </c>
      <c r="I142" s="215">
        <v>50</v>
      </c>
      <c r="J142" s="215">
        <v>72000</v>
      </c>
      <c r="K142" s="216" t="s">
        <v>418</v>
      </c>
      <c r="L142" s="217">
        <v>2</v>
      </c>
      <c r="M142" s="5" t="s">
        <v>545</v>
      </c>
    </row>
    <row r="143" spans="1:13" x14ac:dyDescent="0.35">
      <c r="A143" s="87">
        <v>46071</v>
      </c>
      <c r="B143" s="5" t="s">
        <v>205</v>
      </c>
      <c r="C143" s="5">
        <v>15</v>
      </c>
      <c r="D143" s="5" t="s">
        <v>411</v>
      </c>
      <c r="E143" s="5" t="s">
        <v>79</v>
      </c>
      <c r="F143" s="5" t="s">
        <v>178</v>
      </c>
      <c r="G143" s="5">
        <v>-1</v>
      </c>
      <c r="H143" s="5">
        <v>2400</v>
      </c>
      <c r="I143" s="5">
        <v>113.161783854167</v>
      </c>
      <c r="J143" s="5">
        <v>-271588.28125000081</v>
      </c>
      <c r="K143" s="88" t="s">
        <v>418</v>
      </c>
      <c r="L143" s="89">
        <v>2</v>
      </c>
      <c r="M143" s="5" t="s">
        <v>543</v>
      </c>
    </row>
    <row r="144" spans="1:13" x14ac:dyDescent="0.35">
      <c r="A144" s="87">
        <v>46071</v>
      </c>
      <c r="B144" s="5" t="s">
        <v>205</v>
      </c>
      <c r="C144" s="5">
        <v>15</v>
      </c>
      <c r="D144" s="5" t="s">
        <v>412</v>
      </c>
      <c r="E144" s="5" t="s">
        <v>84</v>
      </c>
      <c r="F144" s="5" t="s">
        <v>409</v>
      </c>
      <c r="G144" s="5">
        <v>1</v>
      </c>
      <c r="H144" s="5">
        <v>960</v>
      </c>
      <c r="I144" s="5">
        <v>207.904459635417</v>
      </c>
      <c r="J144" s="5">
        <v>199588.28125000032</v>
      </c>
      <c r="K144" s="88" t="s">
        <v>418</v>
      </c>
      <c r="L144" s="89">
        <v>2</v>
      </c>
      <c r="M144" s="5" t="s">
        <v>544</v>
      </c>
    </row>
    <row r="145" spans="1:13" x14ac:dyDescent="0.35">
      <c r="A145" s="87">
        <v>46072</v>
      </c>
      <c r="B145" s="5" t="s">
        <v>205</v>
      </c>
      <c r="C145" s="5">
        <v>354</v>
      </c>
      <c r="D145" s="5" t="s">
        <v>179</v>
      </c>
      <c r="E145" s="5" t="s">
        <v>79</v>
      </c>
      <c r="F145" s="5" t="s">
        <v>178</v>
      </c>
      <c r="G145" s="5">
        <v>1</v>
      </c>
      <c r="H145" s="5">
        <v>3000</v>
      </c>
      <c r="I145" s="5">
        <v>112</v>
      </c>
      <c r="J145" s="5">
        <v>336000</v>
      </c>
      <c r="K145" s="88" t="s">
        <v>309</v>
      </c>
      <c r="L145" s="89">
        <v>2</v>
      </c>
      <c r="M145" s="5" t="s">
        <v>336</v>
      </c>
    </row>
    <row r="146" spans="1:13" x14ac:dyDescent="0.35">
      <c r="A146" s="87">
        <v>46082</v>
      </c>
      <c r="B146" s="5" t="s">
        <v>205</v>
      </c>
      <c r="C146" s="5">
        <v>16</v>
      </c>
      <c r="D146" s="5" t="s">
        <v>413</v>
      </c>
      <c r="E146" s="5" t="s">
        <v>87</v>
      </c>
      <c r="F146" s="5" t="s">
        <v>410</v>
      </c>
      <c r="G146" s="5">
        <v>1</v>
      </c>
      <c r="H146" s="5">
        <v>1800</v>
      </c>
      <c r="I146" s="5">
        <v>50</v>
      </c>
      <c r="J146" s="5">
        <v>90000</v>
      </c>
      <c r="K146" s="88" t="s">
        <v>418</v>
      </c>
      <c r="L146" s="89">
        <v>2</v>
      </c>
      <c r="M146" s="5" t="s">
        <v>548</v>
      </c>
    </row>
    <row r="147" spans="1:13" x14ac:dyDescent="0.35">
      <c r="A147" s="87">
        <v>46082</v>
      </c>
      <c r="B147" s="5" t="s">
        <v>205</v>
      </c>
      <c r="C147" s="5">
        <v>16</v>
      </c>
      <c r="D147" s="5" t="s">
        <v>411</v>
      </c>
      <c r="E147" s="5" t="s">
        <v>79</v>
      </c>
      <c r="F147" s="5" t="s">
        <v>178</v>
      </c>
      <c r="G147" s="5">
        <v>-1</v>
      </c>
      <c r="H147" s="5">
        <v>3000</v>
      </c>
      <c r="I147" s="5">
        <v>113.118107769424</v>
      </c>
      <c r="J147" s="5">
        <v>-339354.323308272</v>
      </c>
      <c r="K147" s="88" t="s">
        <v>418</v>
      </c>
      <c r="L147" s="89">
        <v>2</v>
      </c>
      <c r="M147" s="5" t="s">
        <v>546</v>
      </c>
    </row>
    <row r="148" spans="1:13" x14ac:dyDescent="0.35">
      <c r="A148" s="213">
        <v>46082</v>
      </c>
      <c r="B148" s="214" t="s">
        <v>205</v>
      </c>
      <c r="C148" s="214">
        <v>16</v>
      </c>
      <c r="D148" s="214" t="s">
        <v>412</v>
      </c>
      <c r="E148" s="214" t="s">
        <v>84</v>
      </c>
      <c r="F148" s="214" t="s">
        <v>409</v>
      </c>
      <c r="G148" s="214">
        <v>1</v>
      </c>
      <c r="H148" s="214">
        <v>1200</v>
      </c>
      <c r="I148" s="215">
        <v>207.79526942355901</v>
      </c>
      <c r="J148" s="215">
        <v>249354.3233082708</v>
      </c>
      <c r="K148" s="216" t="s">
        <v>418</v>
      </c>
      <c r="L148" s="217">
        <v>2</v>
      </c>
      <c r="M148" s="5" t="s">
        <v>547</v>
      </c>
    </row>
    <row r="149" spans="1:13" x14ac:dyDescent="0.35">
      <c r="A149" s="87">
        <v>46091</v>
      </c>
      <c r="B149" s="5" t="s">
        <v>205</v>
      </c>
      <c r="C149" s="5">
        <v>390</v>
      </c>
      <c r="D149" s="5" t="s">
        <v>179</v>
      </c>
      <c r="E149" s="5" t="s">
        <v>79</v>
      </c>
      <c r="F149" s="5" t="s">
        <v>178</v>
      </c>
      <c r="G149" s="5">
        <v>1</v>
      </c>
      <c r="H149" s="5">
        <v>9000</v>
      </c>
      <c r="I149" s="5">
        <v>109</v>
      </c>
      <c r="J149" s="5">
        <v>981000</v>
      </c>
      <c r="K149" s="88" t="s">
        <v>309</v>
      </c>
      <c r="L149" s="89">
        <v>2</v>
      </c>
      <c r="M149" s="5" t="s">
        <v>407</v>
      </c>
    </row>
    <row r="150" spans="1:13" x14ac:dyDescent="0.35">
      <c r="A150" s="87">
        <v>46095</v>
      </c>
      <c r="B150" s="5" t="s">
        <v>205</v>
      </c>
      <c r="C150" s="5" t="s">
        <v>453</v>
      </c>
      <c r="D150" s="5" t="s">
        <v>457</v>
      </c>
      <c r="E150" s="5" t="s">
        <v>84</v>
      </c>
      <c r="F150" s="5" t="s">
        <v>409</v>
      </c>
      <c r="G150" s="5">
        <v>-1</v>
      </c>
      <c r="H150" s="5">
        <v>2076</v>
      </c>
      <c r="I150" s="5">
        <v>300.88495664739884</v>
      </c>
      <c r="J150" s="5">
        <v>-624637.17000000004</v>
      </c>
      <c r="K150" s="88" t="s">
        <v>458</v>
      </c>
      <c r="L150" s="89">
        <v>2</v>
      </c>
      <c r="M150" s="5" t="s">
        <v>466</v>
      </c>
    </row>
    <row r="151" spans="1:13" x14ac:dyDescent="0.35">
      <c r="A151" s="87">
        <v>46099</v>
      </c>
      <c r="B151" s="5" t="s">
        <v>227</v>
      </c>
      <c r="C151" s="5">
        <v>17</v>
      </c>
      <c r="D151" s="5" t="s">
        <v>413</v>
      </c>
      <c r="E151" s="5" t="s">
        <v>87</v>
      </c>
      <c r="F151" s="5" t="s">
        <v>410</v>
      </c>
      <c r="G151" s="5">
        <v>1</v>
      </c>
      <c r="H151" s="5">
        <v>1440</v>
      </c>
      <c r="I151" s="5">
        <v>50</v>
      </c>
      <c r="J151" s="5">
        <v>72000</v>
      </c>
      <c r="K151" s="88" t="s">
        <v>418</v>
      </c>
      <c r="L151" s="89">
        <v>2</v>
      </c>
      <c r="M151" s="5" t="s">
        <v>551</v>
      </c>
    </row>
    <row r="152" spans="1:13" x14ac:dyDescent="0.35">
      <c r="A152" s="87">
        <v>46099</v>
      </c>
      <c r="B152" s="5" t="s">
        <v>227</v>
      </c>
      <c r="C152" s="5">
        <v>17</v>
      </c>
      <c r="D152" s="5" t="s">
        <v>411</v>
      </c>
      <c r="E152" s="5" t="s">
        <v>79</v>
      </c>
      <c r="F152" s="5" t="s">
        <v>178</v>
      </c>
      <c r="G152" s="5">
        <v>-1</v>
      </c>
      <c r="H152" s="5">
        <v>2400</v>
      </c>
      <c r="I152" s="5">
        <v>112.700731981982</v>
      </c>
      <c r="J152" s="5">
        <v>-270481.7567567568</v>
      </c>
      <c r="K152" s="88" t="s">
        <v>418</v>
      </c>
      <c r="L152" s="89">
        <v>2</v>
      </c>
      <c r="M152" s="5" t="s">
        <v>549</v>
      </c>
    </row>
    <row r="153" spans="1:13" x14ac:dyDescent="0.35">
      <c r="A153" s="213">
        <v>46099</v>
      </c>
      <c r="B153" s="214" t="s">
        <v>227</v>
      </c>
      <c r="C153" s="214">
        <v>17</v>
      </c>
      <c r="D153" s="214" t="s">
        <v>412</v>
      </c>
      <c r="E153" s="214" t="s">
        <v>84</v>
      </c>
      <c r="F153" s="214" t="s">
        <v>409</v>
      </c>
      <c r="G153" s="214">
        <v>1</v>
      </c>
      <c r="H153" s="214">
        <v>960</v>
      </c>
      <c r="I153" s="215">
        <v>206.75182995495501</v>
      </c>
      <c r="J153" s="215">
        <v>198481.7567567568</v>
      </c>
      <c r="K153" s="216" t="s">
        <v>418</v>
      </c>
      <c r="L153" s="217">
        <v>2</v>
      </c>
      <c r="M153" s="5" t="s">
        <v>550</v>
      </c>
    </row>
    <row r="154" spans="1:13" x14ac:dyDescent="0.35">
      <c r="A154" s="87">
        <v>46101</v>
      </c>
      <c r="B154" s="5" t="s">
        <v>227</v>
      </c>
      <c r="C154" s="5" t="s">
        <v>228</v>
      </c>
      <c r="D154" s="5" t="s">
        <v>179</v>
      </c>
      <c r="E154" s="5" t="s">
        <v>79</v>
      </c>
      <c r="F154" s="5" t="s">
        <v>212</v>
      </c>
      <c r="G154" s="5">
        <v>1</v>
      </c>
      <c r="H154" s="5">
        <v>80</v>
      </c>
      <c r="I154" s="5">
        <v>200</v>
      </c>
      <c r="J154" s="5">
        <v>16000</v>
      </c>
      <c r="K154" s="88" t="s">
        <v>309</v>
      </c>
      <c r="L154" s="89">
        <v>2</v>
      </c>
      <c r="M154" s="5" t="s">
        <v>352</v>
      </c>
    </row>
    <row r="155" spans="1:13" x14ac:dyDescent="0.35">
      <c r="A155" s="87">
        <v>46101</v>
      </c>
      <c r="B155" s="5" t="s">
        <v>227</v>
      </c>
      <c r="C155" s="5" t="s">
        <v>228</v>
      </c>
      <c r="D155" s="5" t="s">
        <v>179</v>
      </c>
      <c r="E155" s="5" t="s">
        <v>79</v>
      </c>
      <c r="F155" s="5" t="s">
        <v>213</v>
      </c>
      <c r="G155" s="5">
        <v>1</v>
      </c>
      <c r="H155" s="5">
        <v>5</v>
      </c>
      <c r="I155" s="5">
        <v>260</v>
      </c>
      <c r="J155" s="5">
        <v>1300</v>
      </c>
      <c r="K155" s="88" t="s">
        <v>309</v>
      </c>
      <c r="L155" s="89">
        <v>2</v>
      </c>
      <c r="M155" s="5" t="s">
        <v>353</v>
      </c>
    </row>
    <row r="156" spans="1:13" x14ac:dyDescent="0.35">
      <c r="A156" s="87">
        <v>46101</v>
      </c>
      <c r="B156" s="5" t="s">
        <v>227</v>
      </c>
      <c r="C156" s="5" t="s">
        <v>228</v>
      </c>
      <c r="D156" s="5" t="s">
        <v>179</v>
      </c>
      <c r="E156" s="5" t="s">
        <v>79</v>
      </c>
      <c r="F156" s="5" t="s">
        <v>210</v>
      </c>
      <c r="G156" s="5">
        <v>1</v>
      </c>
      <c r="H156" s="5">
        <v>50</v>
      </c>
      <c r="I156" s="5">
        <v>420</v>
      </c>
      <c r="J156" s="5">
        <v>21000</v>
      </c>
      <c r="K156" s="88" t="s">
        <v>309</v>
      </c>
      <c r="L156" s="89">
        <v>2</v>
      </c>
      <c r="M156" s="5" t="s">
        <v>354</v>
      </c>
    </row>
    <row r="157" spans="1:13" x14ac:dyDescent="0.35">
      <c r="A157" s="87">
        <v>46101</v>
      </c>
      <c r="B157" s="5" t="s">
        <v>227</v>
      </c>
      <c r="C157" s="5" t="s">
        <v>228</v>
      </c>
      <c r="D157" s="5" t="s">
        <v>179</v>
      </c>
      <c r="E157" s="5" t="s">
        <v>79</v>
      </c>
      <c r="F157" s="5" t="s">
        <v>214</v>
      </c>
      <c r="G157" s="5">
        <v>1</v>
      </c>
      <c r="H157" s="5">
        <v>12.5</v>
      </c>
      <c r="I157" s="5">
        <v>800</v>
      </c>
      <c r="J157" s="5">
        <v>10000</v>
      </c>
      <c r="K157" s="88" t="s">
        <v>309</v>
      </c>
      <c r="L157" s="89">
        <v>2</v>
      </c>
      <c r="M157" s="5" t="s">
        <v>355</v>
      </c>
    </row>
    <row r="158" spans="1:13" x14ac:dyDescent="0.35">
      <c r="A158" s="87">
        <v>46101</v>
      </c>
      <c r="B158" s="5" t="s">
        <v>227</v>
      </c>
      <c r="C158" s="5" t="s">
        <v>228</v>
      </c>
      <c r="D158" s="5" t="s">
        <v>179</v>
      </c>
      <c r="E158" s="5" t="s">
        <v>79</v>
      </c>
      <c r="F158" s="5" t="s">
        <v>215</v>
      </c>
      <c r="G158" s="5">
        <v>1</v>
      </c>
      <c r="H158" s="5">
        <v>12.5</v>
      </c>
      <c r="I158" s="5">
        <v>375</v>
      </c>
      <c r="J158" s="5">
        <v>4687.5</v>
      </c>
      <c r="K158" s="88" t="s">
        <v>309</v>
      </c>
      <c r="L158" s="89">
        <v>2</v>
      </c>
      <c r="M158" s="5" t="s">
        <v>356</v>
      </c>
    </row>
    <row r="159" spans="1:13" x14ac:dyDescent="0.35">
      <c r="A159" s="87">
        <v>46101</v>
      </c>
      <c r="B159" s="5" t="s">
        <v>227</v>
      </c>
      <c r="C159" s="5" t="s">
        <v>228</v>
      </c>
      <c r="D159" s="5" t="s">
        <v>179</v>
      </c>
      <c r="E159" s="5" t="s">
        <v>79</v>
      </c>
      <c r="F159" s="5" t="s">
        <v>216</v>
      </c>
      <c r="G159" s="5">
        <v>1</v>
      </c>
      <c r="H159" s="5">
        <v>37.5</v>
      </c>
      <c r="I159" s="5">
        <v>140</v>
      </c>
      <c r="J159" s="5">
        <v>5250</v>
      </c>
      <c r="K159" s="88" t="s">
        <v>309</v>
      </c>
      <c r="L159" s="89">
        <v>2</v>
      </c>
      <c r="M159" s="5" t="s">
        <v>357</v>
      </c>
    </row>
    <row r="160" spans="1:13" x14ac:dyDescent="0.35">
      <c r="A160" s="87">
        <v>46101</v>
      </c>
      <c r="B160" s="5" t="s">
        <v>227</v>
      </c>
      <c r="C160" s="5" t="s">
        <v>228</v>
      </c>
      <c r="D160" s="5" t="s">
        <v>179</v>
      </c>
      <c r="E160" s="5" t="s">
        <v>79</v>
      </c>
      <c r="F160" s="5" t="s">
        <v>211</v>
      </c>
      <c r="G160" s="5">
        <v>1</v>
      </c>
      <c r="H160" s="5">
        <v>20</v>
      </c>
      <c r="I160" s="5">
        <v>1600</v>
      </c>
      <c r="J160" s="5">
        <v>32000</v>
      </c>
      <c r="K160" s="88" t="s">
        <v>309</v>
      </c>
      <c r="L160" s="89">
        <v>2</v>
      </c>
      <c r="M160" s="5" t="s">
        <v>358</v>
      </c>
    </row>
    <row r="161" spans="1:13" x14ac:dyDescent="0.35">
      <c r="A161" s="87">
        <v>46101</v>
      </c>
      <c r="B161" s="5" t="s">
        <v>227</v>
      </c>
      <c r="C161" s="5" t="s">
        <v>228</v>
      </c>
      <c r="D161" s="5" t="s">
        <v>179</v>
      </c>
      <c r="E161" s="5" t="s">
        <v>79</v>
      </c>
      <c r="F161" s="5" t="s">
        <v>217</v>
      </c>
      <c r="G161" s="5">
        <v>1</v>
      </c>
      <c r="H161" s="5">
        <v>10</v>
      </c>
      <c r="I161" s="5">
        <v>1420</v>
      </c>
      <c r="J161" s="5">
        <v>14200</v>
      </c>
      <c r="K161" s="88" t="s">
        <v>309</v>
      </c>
      <c r="L161" s="89">
        <v>2</v>
      </c>
      <c r="M161" s="5" t="s">
        <v>359</v>
      </c>
    </row>
    <row r="162" spans="1:13" x14ac:dyDescent="0.35">
      <c r="A162" s="87">
        <v>46101</v>
      </c>
      <c r="B162" s="5" t="s">
        <v>227</v>
      </c>
      <c r="C162" s="5" t="s">
        <v>228</v>
      </c>
      <c r="D162" s="5" t="s">
        <v>179</v>
      </c>
      <c r="E162" s="5" t="s">
        <v>79</v>
      </c>
      <c r="F162" s="5" t="s">
        <v>218</v>
      </c>
      <c r="G162" s="5">
        <v>1</v>
      </c>
      <c r="H162" s="5">
        <v>20</v>
      </c>
      <c r="I162" s="5">
        <v>540</v>
      </c>
      <c r="J162" s="5">
        <v>10800</v>
      </c>
      <c r="K162" s="88" t="s">
        <v>309</v>
      </c>
      <c r="L162" s="89">
        <v>2</v>
      </c>
      <c r="M162" s="5" t="s">
        <v>360</v>
      </c>
    </row>
    <row r="163" spans="1:13" x14ac:dyDescent="0.35">
      <c r="A163" s="87">
        <v>46101</v>
      </c>
      <c r="B163" s="5" t="s">
        <v>227</v>
      </c>
      <c r="C163" s="5" t="s">
        <v>228</v>
      </c>
      <c r="D163" s="5" t="s">
        <v>179</v>
      </c>
      <c r="E163" s="5" t="s">
        <v>79</v>
      </c>
      <c r="F163" s="5" t="s">
        <v>219</v>
      </c>
      <c r="G163" s="5">
        <v>1</v>
      </c>
      <c r="H163" s="5">
        <v>10</v>
      </c>
      <c r="I163" s="5">
        <v>290</v>
      </c>
      <c r="J163" s="5">
        <v>2900</v>
      </c>
      <c r="K163" s="88" t="s">
        <v>309</v>
      </c>
      <c r="L163" s="89">
        <v>2</v>
      </c>
      <c r="M163" s="5" t="s">
        <v>361</v>
      </c>
    </row>
    <row r="164" spans="1:13" x14ac:dyDescent="0.35">
      <c r="A164" s="87">
        <v>46101</v>
      </c>
      <c r="B164" s="5" t="s">
        <v>227</v>
      </c>
      <c r="C164" s="5" t="s">
        <v>228</v>
      </c>
      <c r="D164" s="5" t="s">
        <v>179</v>
      </c>
      <c r="E164" s="5" t="s">
        <v>79</v>
      </c>
      <c r="F164" s="5" t="s">
        <v>220</v>
      </c>
      <c r="G164" s="5">
        <v>1</v>
      </c>
      <c r="H164" s="5">
        <v>5</v>
      </c>
      <c r="I164" s="5">
        <v>4980</v>
      </c>
      <c r="J164" s="5">
        <v>24900</v>
      </c>
      <c r="K164" s="88" t="s">
        <v>309</v>
      </c>
      <c r="L164" s="89">
        <v>2</v>
      </c>
      <c r="M164" s="5" t="s">
        <v>362</v>
      </c>
    </row>
    <row r="165" spans="1:13" x14ac:dyDescent="0.35">
      <c r="A165" s="87">
        <v>46101</v>
      </c>
      <c r="B165" s="5" t="s">
        <v>227</v>
      </c>
      <c r="C165" s="5" t="s">
        <v>228</v>
      </c>
      <c r="D165" s="5" t="s">
        <v>179</v>
      </c>
      <c r="E165" s="5" t="s">
        <v>79</v>
      </c>
      <c r="F165" s="5" t="s">
        <v>221</v>
      </c>
      <c r="G165" s="5">
        <v>1</v>
      </c>
      <c r="H165" s="5">
        <v>30</v>
      </c>
      <c r="I165" s="5">
        <v>650</v>
      </c>
      <c r="J165" s="5">
        <v>19500</v>
      </c>
      <c r="K165" s="88" t="s">
        <v>309</v>
      </c>
      <c r="L165" s="89">
        <v>2</v>
      </c>
      <c r="M165" s="5" t="s">
        <v>363</v>
      </c>
    </row>
    <row r="166" spans="1:13" x14ac:dyDescent="0.35">
      <c r="A166" s="87">
        <v>46101</v>
      </c>
      <c r="B166" s="5" t="s">
        <v>227</v>
      </c>
      <c r="C166" s="5" t="s">
        <v>228</v>
      </c>
      <c r="D166" s="5" t="s">
        <v>179</v>
      </c>
      <c r="E166" s="5" t="s">
        <v>79</v>
      </c>
      <c r="F166" s="5" t="s">
        <v>222</v>
      </c>
      <c r="G166" s="5">
        <v>1</v>
      </c>
      <c r="H166" s="5">
        <v>49.8</v>
      </c>
      <c r="I166" s="5">
        <v>210</v>
      </c>
      <c r="J166" s="5">
        <v>10458</v>
      </c>
      <c r="K166" s="88" t="s">
        <v>309</v>
      </c>
      <c r="L166" s="89">
        <v>2</v>
      </c>
      <c r="M166" s="5" t="s">
        <v>364</v>
      </c>
    </row>
    <row r="167" spans="1:13" x14ac:dyDescent="0.35">
      <c r="A167" s="87">
        <v>46101</v>
      </c>
      <c r="B167" s="5" t="s">
        <v>227</v>
      </c>
      <c r="C167" s="5" t="s">
        <v>228</v>
      </c>
      <c r="D167" s="5" t="s">
        <v>179</v>
      </c>
      <c r="E167" s="5" t="s">
        <v>79</v>
      </c>
      <c r="F167" s="5" t="s">
        <v>223</v>
      </c>
      <c r="G167" s="5">
        <v>1</v>
      </c>
      <c r="H167" s="5">
        <v>5</v>
      </c>
      <c r="I167" s="5">
        <v>780</v>
      </c>
      <c r="J167" s="5">
        <v>3900</v>
      </c>
      <c r="K167" s="88" t="s">
        <v>309</v>
      </c>
      <c r="L167" s="89">
        <v>2</v>
      </c>
      <c r="M167" s="5" t="s">
        <v>365</v>
      </c>
    </row>
    <row r="168" spans="1:13" x14ac:dyDescent="0.35">
      <c r="A168" s="87">
        <v>46101</v>
      </c>
      <c r="B168" s="5" t="s">
        <v>227</v>
      </c>
      <c r="C168" s="5" t="s">
        <v>228</v>
      </c>
      <c r="D168" s="5" t="s">
        <v>179</v>
      </c>
      <c r="E168" s="5" t="s">
        <v>79</v>
      </c>
      <c r="F168" s="5" t="s">
        <v>224</v>
      </c>
      <c r="G168" s="5">
        <v>1</v>
      </c>
      <c r="H168" s="5">
        <v>40</v>
      </c>
      <c r="I168" s="5">
        <v>235</v>
      </c>
      <c r="J168" s="5">
        <v>9400</v>
      </c>
      <c r="K168" s="88" t="s">
        <v>309</v>
      </c>
      <c r="L168" s="89">
        <v>2</v>
      </c>
      <c r="M168" s="5" t="s">
        <v>366</v>
      </c>
    </row>
    <row r="169" spans="1:13" x14ac:dyDescent="0.35">
      <c r="A169" s="87">
        <v>46101</v>
      </c>
      <c r="B169" s="5" t="s">
        <v>227</v>
      </c>
      <c r="C169" s="5">
        <v>548</v>
      </c>
      <c r="D169" s="5" t="s">
        <v>179</v>
      </c>
      <c r="E169" s="5" t="s">
        <v>79</v>
      </c>
      <c r="F169" s="5" t="s">
        <v>189</v>
      </c>
      <c r="G169" s="5">
        <v>1</v>
      </c>
      <c r="H169" s="5">
        <v>150</v>
      </c>
      <c r="I169" s="5">
        <v>192</v>
      </c>
      <c r="J169" s="5">
        <v>28800</v>
      </c>
      <c r="K169" s="88" t="s">
        <v>309</v>
      </c>
      <c r="L169" s="89">
        <v>2</v>
      </c>
      <c r="M169" s="5" t="s">
        <v>367</v>
      </c>
    </row>
    <row r="170" spans="1:13" x14ac:dyDescent="0.35">
      <c r="A170" s="87">
        <v>46101</v>
      </c>
      <c r="B170" s="5" t="s">
        <v>227</v>
      </c>
      <c r="C170" s="5">
        <v>548</v>
      </c>
      <c r="D170" s="5" t="s">
        <v>179</v>
      </c>
      <c r="E170" s="5" t="s">
        <v>79</v>
      </c>
      <c r="F170" s="5" t="s">
        <v>235</v>
      </c>
      <c r="G170" s="5">
        <v>1</v>
      </c>
      <c r="H170" s="5">
        <v>200</v>
      </c>
      <c r="I170" s="5">
        <v>128</v>
      </c>
      <c r="J170" s="5">
        <v>25600</v>
      </c>
      <c r="K170" s="88" t="s">
        <v>309</v>
      </c>
      <c r="L170" s="89">
        <v>2</v>
      </c>
      <c r="M170" s="5" t="s">
        <v>368</v>
      </c>
    </row>
    <row r="171" spans="1:13" x14ac:dyDescent="0.35">
      <c r="A171" s="87">
        <v>46101</v>
      </c>
      <c r="B171" s="5" t="s">
        <v>227</v>
      </c>
      <c r="C171" s="5">
        <v>548</v>
      </c>
      <c r="D171" s="5" t="s">
        <v>179</v>
      </c>
      <c r="E171" s="5" t="s">
        <v>79</v>
      </c>
      <c r="F171" s="5" t="s">
        <v>230</v>
      </c>
      <c r="G171" s="5">
        <v>1</v>
      </c>
      <c r="H171" s="5">
        <v>25</v>
      </c>
      <c r="I171" s="5">
        <v>197</v>
      </c>
      <c r="J171" s="5">
        <v>4925</v>
      </c>
      <c r="K171" s="88" t="s">
        <v>309</v>
      </c>
      <c r="L171" s="89">
        <v>2</v>
      </c>
      <c r="M171" s="5" t="s">
        <v>369</v>
      </c>
    </row>
    <row r="172" spans="1:13" x14ac:dyDescent="0.35">
      <c r="A172" s="87">
        <v>46101</v>
      </c>
      <c r="B172" s="5" t="s">
        <v>227</v>
      </c>
      <c r="C172" s="5">
        <v>548</v>
      </c>
      <c r="D172" s="5" t="s">
        <v>179</v>
      </c>
      <c r="E172" s="5" t="s">
        <v>79</v>
      </c>
      <c r="F172" s="5" t="s">
        <v>231</v>
      </c>
      <c r="G172" s="5">
        <v>1</v>
      </c>
      <c r="H172" s="5">
        <v>25</v>
      </c>
      <c r="I172" s="5">
        <v>227</v>
      </c>
      <c r="J172" s="5">
        <v>5675</v>
      </c>
      <c r="K172" s="88" t="s">
        <v>309</v>
      </c>
      <c r="L172" s="89">
        <v>2</v>
      </c>
      <c r="M172" s="5" t="s">
        <v>370</v>
      </c>
    </row>
    <row r="173" spans="1:13" x14ac:dyDescent="0.35">
      <c r="A173" s="87">
        <v>46101</v>
      </c>
      <c r="B173" s="5" t="s">
        <v>227</v>
      </c>
      <c r="C173" s="5">
        <v>548</v>
      </c>
      <c r="D173" s="5" t="s">
        <v>179</v>
      </c>
      <c r="E173" s="5" t="s">
        <v>79</v>
      </c>
      <c r="F173" s="5" t="s">
        <v>200</v>
      </c>
      <c r="G173" s="5">
        <v>1</v>
      </c>
      <c r="H173" s="5">
        <v>50</v>
      </c>
      <c r="I173" s="5">
        <v>95</v>
      </c>
      <c r="J173" s="5">
        <v>4750</v>
      </c>
      <c r="K173" s="88" t="s">
        <v>309</v>
      </c>
      <c r="L173" s="89">
        <v>2</v>
      </c>
      <c r="M173" s="5" t="s">
        <v>371</v>
      </c>
    </row>
    <row r="174" spans="1:13" x14ac:dyDescent="0.35">
      <c r="A174" s="87">
        <v>46101</v>
      </c>
      <c r="B174" s="5" t="s">
        <v>227</v>
      </c>
      <c r="C174" s="5">
        <v>548</v>
      </c>
      <c r="D174" s="5" t="s">
        <v>179</v>
      </c>
      <c r="E174" s="5" t="s">
        <v>79</v>
      </c>
      <c r="F174" s="5" t="s">
        <v>234</v>
      </c>
      <c r="G174" s="5">
        <v>1</v>
      </c>
      <c r="H174" s="5">
        <v>150</v>
      </c>
      <c r="I174" s="5">
        <v>155</v>
      </c>
      <c r="J174" s="5">
        <v>23250</v>
      </c>
      <c r="K174" s="88" t="s">
        <v>309</v>
      </c>
      <c r="L174" s="89">
        <v>2</v>
      </c>
      <c r="M174" s="5" t="s">
        <v>372</v>
      </c>
    </row>
    <row r="175" spans="1:13" x14ac:dyDescent="0.35">
      <c r="A175" s="87">
        <v>46101</v>
      </c>
      <c r="B175" s="5" t="s">
        <v>227</v>
      </c>
      <c r="C175" s="5">
        <v>548</v>
      </c>
      <c r="D175" s="5" t="s">
        <v>179</v>
      </c>
      <c r="E175" s="5" t="s">
        <v>79</v>
      </c>
      <c r="F175" s="5" t="s">
        <v>198</v>
      </c>
      <c r="G175" s="5">
        <v>1</v>
      </c>
      <c r="H175" s="5">
        <v>50</v>
      </c>
      <c r="I175" s="5">
        <v>175</v>
      </c>
      <c r="J175" s="5">
        <v>8750</v>
      </c>
      <c r="K175" s="88" t="s">
        <v>309</v>
      </c>
      <c r="L175" s="89">
        <v>2</v>
      </c>
      <c r="M175" s="5" t="s">
        <v>373</v>
      </c>
    </row>
    <row r="176" spans="1:13" x14ac:dyDescent="0.35">
      <c r="A176" s="87">
        <v>46101</v>
      </c>
      <c r="B176" s="5" t="s">
        <v>227</v>
      </c>
      <c r="C176" s="5">
        <v>548</v>
      </c>
      <c r="D176" s="5" t="s">
        <v>179</v>
      </c>
      <c r="E176" s="5" t="s">
        <v>79</v>
      </c>
      <c r="F176" s="5" t="s">
        <v>193</v>
      </c>
      <c r="G176" s="5">
        <v>1</v>
      </c>
      <c r="H176" s="5">
        <v>125</v>
      </c>
      <c r="I176" s="5">
        <v>108</v>
      </c>
      <c r="J176" s="5">
        <v>13500</v>
      </c>
      <c r="K176" s="88" t="s">
        <v>309</v>
      </c>
      <c r="L176" s="89">
        <v>2</v>
      </c>
      <c r="M176" s="5" t="s">
        <v>374</v>
      </c>
    </row>
    <row r="177" spans="1:13" x14ac:dyDescent="0.35">
      <c r="A177" s="213">
        <v>46101</v>
      </c>
      <c r="B177" s="214" t="s">
        <v>227</v>
      </c>
      <c r="C177" s="214">
        <v>548</v>
      </c>
      <c r="D177" s="214" t="s">
        <v>179</v>
      </c>
      <c r="E177" s="214" t="s">
        <v>79</v>
      </c>
      <c r="F177" s="214" t="s">
        <v>244</v>
      </c>
      <c r="G177" s="214">
        <v>1</v>
      </c>
      <c r="H177" s="214">
        <v>30</v>
      </c>
      <c r="I177" s="215">
        <v>112</v>
      </c>
      <c r="J177" s="215">
        <v>3360</v>
      </c>
      <c r="K177" s="216" t="s">
        <v>309</v>
      </c>
      <c r="L177" s="217">
        <v>2</v>
      </c>
      <c r="M177" s="5" t="s">
        <v>375</v>
      </c>
    </row>
    <row r="178" spans="1:13" x14ac:dyDescent="0.35">
      <c r="A178" s="87">
        <v>46101</v>
      </c>
      <c r="B178" s="5" t="s">
        <v>227</v>
      </c>
      <c r="C178" s="5">
        <v>548</v>
      </c>
      <c r="D178" s="5" t="s">
        <v>179</v>
      </c>
      <c r="E178" s="5" t="s">
        <v>79</v>
      </c>
      <c r="F178" s="5" t="s">
        <v>202</v>
      </c>
      <c r="G178" s="5">
        <v>1</v>
      </c>
      <c r="H178" s="5">
        <v>30</v>
      </c>
      <c r="I178" s="5">
        <v>126</v>
      </c>
      <c r="J178" s="5">
        <v>3780</v>
      </c>
      <c r="K178" s="88" t="s">
        <v>309</v>
      </c>
      <c r="L178" s="89">
        <v>2</v>
      </c>
      <c r="M178" s="5" t="s">
        <v>376</v>
      </c>
    </row>
    <row r="179" spans="1:13" x14ac:dyDescent="0.35">
      <c r="A179" s="87">
        <v>46101</v>
      </c>
      <c r="B179" s="5" t="s">
        <v>227</v>
      </c>
      <c r="C179" s="5">
        <v>548</v>
      </c>
      <c r="D179" s="5" t="s">
        <v>179</v>
      </c>
      <c r="E179" s="5" t="s">
        <v>79</v>
      </c>
      <c r="F179" s="5" t="s">
        <v>233</v>
      </c>
      <c r="G179" s="5">
        <v>1</v>
      </c>
      <c r="H179" s="5">
        <v>60</v>
      </c>
      <c r="I179" s="5">
        <v>135</v>
      </c>
      <c r="J179" s="5">
        <v>8100</v>
      </c>
      <c r="K179" s="88" t="s">
        <v>309</v>
      </c>
      <c r="L179" s="89">
        <v>2</v>
      </c>
      <c r="M179" s="5" t="s">
        <v>377</v>
      </c>
    </row>
    <row r="180" spans="1:13" x14ac:dyDescent="0.35">
      <c r="A180" s="87">
        <v>46101</v>
      </c>
      <c r="B180" s="5" t="s">
        <v>227</v>
      </c>
      <c r="C180" s="5">
        <v>1157</v>
      </c>
      <c r="D180" s="5" t="s">
        <v>179</v>
      </c>
      <c r="E180" s="5" t="s">
        <v>79</v>
      </c>
      <c r="F180" s="5" t="s">
        <v>238</v>
      </c>
      <c r="G180" s="5">
        <v>1</v>
      </c>
      <c r="H180" s="5">
        <v>50</v>
      </c>
      <c r="I180" s="5">
        <v>91</v>
      </c>
      <c r="J180" s="5">
        <v>4550</v>
      </c>
      <c r="K180" s="88" t="s">
        <v>309</v>
      </c>
      <c r="L180" s="89">
        <v>2</v>
      </c>
      <c r="M180" s="5" t="s">
        <v>391</v>
      </c>
    </row>
    <row r="181" spans="1:13" x14ac:dyDescent="0.35">
      <c r="A181" s="87">
        <v>46101</v>
      </c>
      <c r="B181" s="5" t="s">
        <v>227</v>
      </c>
      <c r="C181" s="5">
        <v>1157</v>
      </c>
      <c r="D181" s="5" t="s">
        <v>179</v>
      </c>
      <c r="E181" s="5" t="s">
        <v>79</v>
      </c>
      <c r="F181" s="5" t="s">
        <v>239</v>
      </c>
      <c r="G181" s="5">
        <v>1</v>
      </c>
      <c r="H181" s="5">
        <v>50</v>
      </c>
      <c r="I181" s="5">
        <v>204</v>
      </c>
      <c r="J181" s="5">
        <v>10200</v>
      </c>
      <c r="K181" s="88" t="s">
        <v>309</v>
      </c>
      <c r="L181" s="89">
        <v>2</v>
      </c>
      <c r="M181" s="5" t="s">
        <v>392</v>
      </c>
    </row>
    <row r="182" spans="1:13" x14ac:dyDescent="0.35">
      <c r="A182" s="87">
        <v>46101</v>
      </c>
      <c r="B182" s="5" t="s">
        <v>227</v>
      </c>
      <c r="C182" s="5">
        <v>1157</v>
      </c>
      <c r="D182" s="5" t="s">
        <v>179</v>
      </c>
      <c r="E182" s="5" t="s">
        <v>79</v>
      </c>
      <c r="F182" s="5" t="s">
        <v>197</v>
      </c>
      <c r="G182" s="5">
        <v>1</v>
      </c>
      <c r="H182" s="5">
        <v>105</v>
      </c>
      <c r="I182" s="5">
        <v>172</v>
      </c>
      <c r="J182" s="5">
        <v>18060</v>
      </c>
      <c r="K182" s="88" t="s">
        <v>309</v>
      </c>
      <c r="L182" s="89">
        <v>2</v>
      </c>
      <c r="M182" s="5" t="s">
        <v>393</v>
      </c>
    </row>
    <row r="183" spans="1:13" x14ac:dyDescent="0.35">
      <c r="A183" s="87">
        <v>46101</v>
      </c>
      <c r="B183" s="5" t="s">
        <v>227</v>
      </c>
      <c r="C183" s="5">
        <v>1157</v>
      </c>
      <c r="D183" s="5" t="s">
        <v>179</v>
      </c>
      <c r="E183" s="5" t="s">
        <v>79</v>
      </c>
      <c r="F183" s="5" t="s">
        <v>240</v>
      </c>
      <c r="G183" s="5">
        <v>1</v>
      </c>
      <c r="H183" s="5">
        <v>50</v>
      </c>
      <c r="I183" s="5">
        <v>93</v>
      </c>
      <c r="J183" s="5">
        <v>4650</v>
      </c>
      <c r="K183" s="88" t="s">
        <v>309</v>
      </c>
      <c r="L183" s="89">
        <v>2</v>
      </c>
      <c r="M183" s="5" t="s">
        <v>394</v>
      </c>
    </row>
    <row r="184" spans="1:13" x14ac:dyDescent="0.35">
      <c r="A184" s="87">
        <v>46101</v>
      </c>
      <c r="B184" s="5" t="s">
        <v>227</v>
      </c>
      <c r="C184" s="5">
        <v>1157</v>
      </c>
      <c r="D184" s="5" t="s">
        <v>179</v>
      </c>
      <c r="E184" s="5" t="s">
        <v>79</v>
      </c>
      <c r="F184" s="5" t="s">
        <v>203</v>
      </c>
      <c r="G184" s="5">
        <v>1</v>
      </c>
      <c r="H184" s="5">
        <v>150</v>
      </c>
      <c r="I184" s="5">
        <v>133</v>
      </c>
      <c r="J184" s="5">
        <v>19950</v>
      </c>
      <c r="K184" s="88" t="s">
        <v>309</v>
      </c>
      <c r="L184" s="89">
        <v>2</v>
      </c>
      <c r="M184" s="5" t="s">
        <v>395</v>
      </c>
    </row>
    <row r="185" spans="1:13" x14ac:dyDescent="0.35">
      <c r="A185" s="87">
        <v>46101</v>
      </c>
      <c r="B185" s="5" t="s">
        <v>227</v>
      </c>
      <c r="C185" s="5">
        <v>1157</v>
      </c>
      <c r="D185" s="5" t="s">
        <v>179</v>
      </c>
      <c r="E185" s="5" t="s">
        <v>79</v>
      </c>
      <c r="F185" s="5" t="s">
        <v>189</v>
      </c>
      <c r="G185" s="5">
        <v>1</v>
      </c>
      <c r="H185" s="5">
        <v>125</v>
      </c>
      <c r="I185" s="5">
        <v>156</v>
      </c>
      <c r="J185" s="5">
        <v>19500</v>
      </c>
      <c r="K185" s="88" t="s">
        <v>309</v>
      </c>
      <c r="L185" s="89">
        <v>2</v>
      </c>
      <c r="M185" s="5" t="s">
        <v>396</v>
      </c>
    </row>
    <row r="186" spans="1:13" x14ac:dyDescent="0.35">
      <c r="A186" s="87">
        <v>46101</v>
      </c>
      <c r="B186" s="5" t="s">
        <v>227</v>
      </c>
      <c r="C186" s="5">
        <v>1157</v>
      </c>
      <c r="D186" s="5" t="s">
        <v>179</v>
      </c>
      <c r="E186" s="5" t="s">
        <v>79</v>
      </c>
      <c r="F186" s="5" t="s">
        <v>243</v>
      </c>
      <c r="G186" s="5">
        <v>1</v>
      </c>
      <c r="H186" s="5">
        <v>300</v>
      </c>
      <c r="I186" s="5">
        <v>96</v>
      </c>
      <c r="J186" s="5">
        <v>28800</v>
      </c>
      <c r="K186" s="88" t="s">
        <v>309</v>
      </c>
      <c r="L186" s="89">
        <v>2</v>
      </c>
      <c r="M186" s="5" t="s">
        <v>397</v>
      </c>
    </row>
    <row r="187" spans="1:13" x14ac:dyDescent="0.35">
      <c r="A187" s="87">
        <v>46101</v>
      </c>
      <c r="B187" s="5" t="s">
        <v>227</v>
      </c>
      <c r="C187" s="5">
        <v>2838</v>
      </c>
      <c r="D187" s="5" t="s">
        <v>179</v>
      </c>
      <c r="E187" s="5" t="s">
        <v>79</v>
      </c>
      <c r="F187" s="5" t="s">
        <v>189</v>
      </c>
      <c r="G187" s="5">
        <v>1</v>
      </c>
      <c r="H187" s="5">
        <v>150</v>
      </c>
      <c r="I187" s="5">
        <v>150</v>
      </c>
      <c r="J187" s="5">
        <v>22500</v>
      </c>
      <c r="K187" s="88" t="s">
        <v>309</v>
      </c>
      <c r="L187" s="89">
        <v>2</v>
      </c>
      <c r="M187" s="5" t="s">
        <v>398</v>
      </c>
    </row>
    <row r="188" spans="1:13" x14ac:dyDescent="0.35">
      <c r="A188" s="87">
        <v>46101</v>
      </c>
      <c r="B188" s="5" t="s">
        <v>227</v>
      </c>
      <c r="C188" s="5">
        <v>2838</v>
      </c>
      <c r="D188" s="5" t="s">
        <v>179</v>
      </c>
      <c r="E188" s="5" t="s">
        <v>79</v>
      </c>
      <c r="F188" s="5" t="s">
        <v>203</v>
      </c>
      <c r="G188" s="5">
        <v>1</v>
      </c>
      <c r="H188" s="5">
        <v>200</v>
      </c>
      <c r="I188" s="5">
        <v>128</v>
      </c>
      <c r="J188" s="5">
        <v>25600</v>
      </c>
      <c r="K188" s="88" t="s">
        <v>309</v>
      </c>
      <c r="L188" s="89">
        <v>2</v>
      </c>
      <c r="M188" s="5" t="s">
        <v>399</v>
      </c>
    </row>
    <row r="189" spans="1:13" x14ac:dyDescent="0.35">
      <c r="A189" s="87">
        <v>46101</v>
      </c>
      <c r="B189" s="5" t="s">
        <v>227</v>
      </c>
      <c r="C189" s="5">
        <v>2838</v>
      </c>
      <c r="D189" s="5" t="s">
        <v>179</v>
      </c>
      <c r="E189" s="5" t="s">
        <v>79</v>
      </c>
      <c r="F189" s="5" t="s">
        <v>238</v>
      </c>
      <c r="G189" s="5">
        <v>1</v>
      </c>
      <c r="H189" s="5">
        <v>25</v>
      </c>
      <c r="I189" s="5">
        <v>162</v>
      </c>
      <c r="J189" s="5">
        <v>4050</v>
      </c>
      <c r="K189" s="88" t="s">
        <v>309</v>
      </c>
      <c r="L189" s="89">
        <v>2</v>
      </c>
      <c r="M189" s="5" t="s">
        <v>400</v>
      </c>
    </row>
    <row r="190" spans="1:13" x14ac:dyDescent="0.35">
      <c r="A190" s="87">
        <v>46101</v>
      </c>
      <c r="B190" s="5" t="s">
        <v>227</v>
      </c>
      <c r="C190" s="5">
        <v>2838</v>
      </c>
      <c r="D190" s="5" t="s">
        <v>179</v>
      </c>
      <c r="E190" s="5" t="s">
        <v>79</v>
      </c>
      <c r="F190" s="5" t="s">
        <v>239</v>
      </c>
      <c r="G190" s="5">
        <v>1</v>
      </c>
      <c r="H190" s="5">
        <v>25</v>
      </c>
      <c r="I190" s="5">
        <v>159</v>
      </c>
      <c r="J190" s="5">
        <v>3975</v>
      </c>
      <c r="K190" s="88" t="s">
        <v>309</v>
      </c>
      <c r="L190" s="89">
        <v>2</v>
      </c>
      <c r="M190" s="5" t="s">
        <v>401</v>
      </c>
    </row>
    <row r="191" spans="1:13" x14ac:dyDescent="0.35">
      <c r="A191" s="87">
        <v>46101</v>
      </c>
      <c r="B191" s="5" t="s">
        <v>227</v>
      </c>
      <c r="C191" s="5">
        <v>2838</v>
      </c>
      <c r="D191" s="5" t="s">
        <v>179</v>
      </c>
      <c r="E191" s="5" t="s">
        <v>79</v>
      </c>
      <c r="F191" s="5" t="s">
        <v>200</v>
      </c>
      <c r="G191" s="5">
        <v>1</v>
      </c>
      <c r="H191" s="5">
        <v>50</v>
      </c>
      <c r="I191" s="5">
        <v>91</v>
      </c>
      <c r="J191" s="5">
        <v>4550</v>
      </c>
      <c r="K191" s="88" t="s">
        <v>309</v>
      </c>
      <c r="L191" s="89">
        <v>2</v>
      </c>
      <c r="M191" s="5" t="s">
        <v>402</v>
      </c>
    </row>
    <row r="192" spans="1:13" x14ac:dyDescent="0.35">
      <c r="A192" s="87">
        <v>46101</v>
      </c>
      <c r="B192" s="5" t="s">
        <v>227</v>
      </c>
      <c r="C192" s="5">
        <v>2838</v>
      </c>
      <c r="D192" s="5" t="s">
        <v>179</v>
      </c>
      <c r="E192" s="5" t="s">
        <v>79</v>
      </c>
      <c r="F192" s="5" t="s">
        <v>204</v>
      </c>
      <c r="G192" s="5">
        <v>1</v>
      </c>
      <c r="H192" s="5">
        <v>150</v>
      </c>
      <c r="I192" s="5">
        <v>171</v>
      </c>
      <c r="J192" s="5">
        <v>25650</v>
      </c>
      <c r="K192" s="88" t="s">
        <v>309</v>
      </c>
      <c r="L192" s="89">
        <v>2</v>
      </c>
      <c r="M192" s="5" t="s">
        <v>403</v>
      </c>
    </row>
    <row r="193" spans="1:13" x14ac:dyDescent="0.35">
      <c r="A193" s="87">
        <v>46101</v>
      </c>
      <c r="B193" s="5" t="s">
        <v>227</v>
      </c>
      <c r="C193" s="5">
        <v>2838</v>
      </c>
      <c r="D193" s="5" t="s">
        <v>179</v>
      </c>
      <c r="E193" s="5" t="s">
        <v>79</v>
      </c>
      <c r="F193" s="5" t="s">
        <v>198</v>
      </c>
      <c r="G193" s="5">
        <v>1</v>
      </c>
      <c r="H193" s="5">
        <v>50</v>
      </c>
      <c r="I193" s="5">
        <v>163</v>
      </c>
      <c r="J193" s="5">
        <v>8150</v>
      </c>
      <c r="K193" s="88" t="s">
        <v>309</v>
      </c>
      <c r="L193" s="89">
        <v>2</v>
      </c>
      <c r="M193" s="5" t="s">
        <v>404</v>
      </c>
    </row>
    <row r="194" spans="1:13" x14ac:dyDescent="0.35">
      <c r="A194" s="87">
        <v>46101</v>
      </c>
      <c r="B194" s="5" t="s">
        <v>227</v>
      </c>
      <c r="C194" s="5">
        <v>2838</v>
      </c>
      <c r="D194" s="5" t="s">
        <v>179</v>
      </c>
      <c r="E194" s="5" t="s">
        <v>79</v>
      </c>
      <c r="F194" s="5" t="s">
        <v>193</v>
      </c>
      <c r="G194" s="5">
        <v>1</v>
      </c>
      <c r="H194" s="5">
        <v>125</v>
      </c>
      <c r="I194" s="5">
        <v>106</v>
      </c>
      <c r="J194" s="5">
        <v>13250</v>
      </c>
      <c r="K194" s="88" t="s">
        <v>309</v>
      </c>
      <c r="L194" s="89">
        <v>2</v>
      </c>
      <c r="M194" s="5" t="s">
        <v>405</v>
      </c>
    </row>
    <row r="195" spans="1:13" x14ac:dyDescent="0.35">
      <c r="A195" s="87">
        <v>46101</v>
      </c>
      <c r="B195" s="5" t="s">
        <v>227</v>
      </c>
      <c r="C195" s="5">
        <v>2838</v>
      </c>
      <c r="D195" s="5" t="s">
        <v>179</v>
      </c>
      <c r="E195" s="5" t="s">
        <v>79</v>
      </c>
      <c r="F195" s="5" t="s">
        <v>202</v>
      </c>
      <c r="G195" s="5">
        <v>1</v>
      </c>
      <c r="H195" s="5">
        <v>30</v>
      </c>
      <c r="I195" s="5">
        <v>125</v>
      </c>
      <c r="J195" s="5">
        <v>3750</v>
      </c>
      <c r="K195" s="88" t="s">
        <v>309</v>
      </c>
      <c r="L195" s="89">
        <v>2</v>
      </c>
      <c r="M195" s="5" t="s">
        <v>406</v>
      </c>
    </row>
    <row r="196" spans="1:13" x14ac:dyDescent="0.35">
      <c r="A196" s="87">
        <v>46102</v>
      </c>
      <c r="B196" s="5" t="s">
        <v>227</v>
      </c>
      <c r="C196" s="5">
        <v>360</v>
      </c>
      <c r="D196" s="5" t="s">
        <v>179</v>
      </c>
      <c r="E196" s="5" t="s">
        <v>79</v>
      </c>
      <c r="F196" s="5" t="s">
        <v>238</v>
      </c>
      <c r="G196" s="5">
        <v>1</v>
      </c>
      <c r="H196" s="5">
        <v>50</v>
      </c>
      <c r="I196" s="5">
        <v>195</v>
      </c>
      <c r="J196" s="5">
        <v>9750</v>
      </c>
      <c r="K196" s="88" t="s">
        <v>309</v>
      </c>
      <c r="L196" s="89">
        <v>2</v>
      </c>
      <c r="M196" s="5" t="s">
        <v>378</v>
      </c>
    </row>
    <row r="197" spans="1:13" x14ac:dyDescent="0.35">
      <c r="A197" s="87">
        <v>46102</v>
      </c>
      <c r="B197" s="5" t="s">
        <v>227</v>
      </c>
      <c r="C197" s="5">
        <v>360</v>
      </c>
      <c r="D197" s="5" t="s">
        <v>179</v>
      </c>
      <c r="E197" s="5" t="s">
        <v>79</v>
      </c>
      <c r="F197" s="5" t="s">
        <v>239</v>
      </c>
      <c r="G197" s="5">
        <v>1</v>
      </c>
      <c r="H197" s="5">
        <v>50.2</v>
      </c>
      <c r="I197" s="5">
        <v>160</v>
      </c>
      <c r="J197" s="5">
        <v>8032</v>
      </c>
      <c r="K197" s="88" t="s">
        <v>309</v>
      </c>
      <c r="L197" s="89">
        <v>2</v>
      </c>
      <c r="M197" s="5" t="s">
        <v>379</v>
      </c>
    </row>
    <row r="198" spans="1:13" x14ac:dyDescent="0.35">
      <c r="A198" s="87">
        <v>46102</v>
      </c>
      <c r="B198" s="5" t="s">
        <v>227</v>
      </c>
      <c r="C198" s="5">
        <v>360</v>
      </c>
      <c r="D198" s="5" t="s">
        <v>179</v>
      </c>
      <c r="E198" s="5" t="s">
        <v>79</v>
      </c>
      <c r="F198" s="5" t="s">
        <v>197</v>
      </c>
      <c r="G198" s="5">
        <v>1</v>
      </c>
      <c r="H198" s="5">
        <v>125</v>
      </c>
      <c r="I198" s="5">
        <v>180</v>
      </c>
      <c r="J198" s="5">
        <v>22500</v>
      </c>
      <c r="K198" s="88" t="s">
        <v>309</v>
      </c>
      <c r="L198" s="89">
        <v>2</v>
      </c>
      <c r="M198" s="5" t="s">
        <v>380</v>
      </c>
    </row>
    <row r="199" spans="1:13" x14ac:dyDescent="0.35">
      <c r="A199" s="87">
        <v>46102</v>
      </c>
      <c r="B199" s="5" t="s">
        <v>227</v>
      </c>
      <c r="C199" s="5">
        <v>360</v>
      </c>
      <c r="D199" s="5" t="s">
        <v>179</v>
      </c>
      <c r="E199" s="5" t="s">
        <v>79</v>
      </c>
      <c r="F199" s="5" t="s">
        <v>240</v>
      </c>
      <c r="G199" s="5">
        <v>1</v>
      </c>
      <c r="H199" s="5">
        <v>50</v>
      </c>
      <c r="I199" s="5">
        <v>70</v>
      </c>
      <c r="J199" s="5">
        <v>3500</v>
      </c>
      <c r="K199" s="88" t="s">
        <v>309</v>
      </c>
      <c r="L199" s="89">
        <v>2</v>
      </c>
      <c r="M199" s="5" t="s">
        <v>381</v>
      </c>
    </row>
    <row r="200" spans="1:13" x14ac:dyDescent="0.35">
      <c r="A200" s="87">
        <v>46102</v>
      </c>
      <c r="B200" s="5" t="s">
        <v>227</v>
      </c>
      <c r="C200" s="5">
        <v>360</v>
      </c>
      <c r="D200" s="5" t="s">
        <v>179</v>
      </c>
      <c r="E200" s="5" t="s">
        <v>79</v>
      </c>
      <c r="F200" s="5" t="s">
        <v>203</v>
      </c>
      <c r="G200" s="5">
        <v>1</v>
      </c>
      <c r="H200" s="5">
        <v>75</v>
      </c>
      <c r="I200" s="5">
        <v>178</v>
      </c>
      <c r="J200" s="5">
        <v>13350</v>
      </c>
      <c r="K200" s="88" t="s">
        <v>309</v>
      </c>
      <c r="L200" s="89">
        <v>2</v>
      </c>
      <c r="M200" s="5" t="s">
        <v>382</v>
      </c>
    </row>
    <row r="201" spans="1:13" x14ac:dyDescent="0.35">
      <c r="A201" s="87">
        <v>46102</v>
      </c>
      <c r="B201" s="5" t="s">
        <v>227</v>
      </c>
      <c r="C201" s="5">
        <v>360</v>
      </c>
      <c r="D201" s="5" t="s">
        <v>179</v>
      </c>
      <c r="E201" s="5" t="s">
        <v>79</v>
      </c>
      <c r="F201" s="5" t="s">
        <v>189</v>
      </c>
      <c r="G201" s="5">
        <v>1</v>
      </c>
      <c r="H201" s="5">
        <v>125</v>
      </c>
      <c r="I201" s="5">
        <v>185</v>
      </c>
      <c r="J201" s="5">
        <v>23125</v>
      </c>
      <c r="K201" s="88" t="s">
        <v>309</v>
      </c>
      <c r="L201" s="89">
        <v>2</v>
      </c>
      <c r="M201" s="5" t="s">
        <v>383</v>
      </c>
    </row>
    <row r="202" spans="1:13" x14ac:dyDescent="0.35">
      <c r="A202" s="87">
        <v>46102</v>
      </c>
      <c r="B202" s="5" t="s">
        <v>227</v>
      </c>
      <c r="C202" s="5">
        <v>360</v>
      </c>
      <c r="D202" s="5" t="s">
        <v>179</v>
      </c>
      <c r="E202" s="5" t="s">
        <v>79</v>
      </c>
      <c r="F202" s="5" t="s">
        <v>241</v>
      </c>
      <c r="G202" s="5">
        <v>1</v>
      </c>
      <c r="H202" s="5">
        <v>50</v>
      </c>
      <c r="I202" s="5">
        <v>230</v>
      </c>
      <c r="J202" s="5">
        <v>11500</v>
      </c>
      <c r="K202" s="88" t="s">
        <v>309</v>
      </c>
      <c r="L202" s="89">
        <v>2</v>
      </c>
      <c r="M202" s="5" t="s">
        <v>384</v>
      </c>
    </row>
    <row r="203" spans="1:13" x14ac:dyDescent="0.35">
      <c r="A203" s="87">
        <v>46102</v>
      </c>
      <c r="B203" s="5" t="s">
        <v>227</v>
      </c>
      <c r="C203" s="5">
        <v>360</v>
      </c>
      <c r="D203" s="5" t="s">
        <v>179</v>
      </c>
      <c r="E203" s="5" t="s">
        <v>79</v>
      </c>
      <c r="F203" s="5" t="s">
        <v>242</v>
      </c>
      <c r="G203" s="5">
        <v>1</v>
      </c>
      <c r="H203" s="5">
        <v>30</v>
      </c>
      <c r="I203" s="5">
        <v>190</v>
      </c>
      <c r="J203" s="5">
        <v>5700</v>
      </c>
      <c r="K203" s="88" t="s">
        <v>309</v>
      </c>
      <c r="L203" s="89">
        <v>2</v>
      </c>
      <c r="M203" s="5" t="s">
        <v>385</v>
      </c>
    </row>
    <row r="204" spans="1:13" x14ac:dyDescent="0.35">
      <c r="A204" s="87">
        <v>46102</v>
      </c>
      <c r="B204" s="5" t="s">
        <v>227</v>
      </c>
      <c r="C204" s="5">
        <v>360</v>
      </c>
      <c r="D204" s="5" t="s">
        <v>179</v>
      </c>
      <c r="E204" s="5" t="s">
        <v>79</v>
      </c>
      <c r="F204" s="5" t="s">
        <v>243</v>
      </c>
      <c r="G204" s="5">
        <v>1</v>
      </c>
      <c r="H204" s="5">
        <v>300</v>
      </c>
      <c r="I204" s="5">
        <v>135</v>
      </c>
      <c r="J204" s="5">
        <v>40500</v>
      </c>
      <c r="K204" s="88" t="s">
        <v>309</v>
      </c>
      <c r="L204" s="89">
        <v>2</v>
      </c>
      <c r="M204" s="5" t="s">
        <v>386</v>
      </c>
    </row>
    <row r="205" spans="1:13" x14ac:dyDescent="0.35">
      <c r="A205" s="87">
        <v>46102</v>
      </c>
      <c r="B205" s="5" t="s">
        <v>227</v>
      </c>
      <c r="C205" s="5">
        <v>360</v>
      </c>
      <c r="D205" s="5" t="s">
        <v>179</v>
      </c>
      <c r="E205" s="5" t="s">
        <v>79</v>
      </c>
      <c r="F205" s="5" t="s">
        <v>198</v>
      </c>
      <c r="G205" s="5">
        <v>1</v>
      </c>
      <c r="H205" s="5">
        <v>30</v>
      </c>
      <c r="I205" s="5">
        <v>146</v>
      </c>
      <c r="J205" s="5">
        <v>4380</v>
      </c>
      <c r="K205" s="88" t="s">
        <v>309</v>
      </c>
      <c r="L205" s="89">
        <v>2</v>
      </c>
      <c r="M205" s="5" t="s">
        <v>387</v>
      </c>
    </row>
    <row r="206" spans="1:13" x14ac:dyDescent="0.35">
      <c r="A206" s="87">
        <v>46102</v>
      </c>
      <c r="B206" s="5" t="s">
        <v>227</v>
      </c>
      <c r="C206" s="5">
        <v>360</v>
      </c>
      <c r="D206" s="5" t="s">
        <v>179</v>
      </c>
      <c r="E206" s="5" t="s">
        <v>79</v>
      </c>
      <c r="F206" s="5" t="s">
        <v>244</v>
      </c>
      <c r="G206" s="5">
        <v>1</v>
      </c>
      <c r="H206" s="5">
        <v>90</v>
      </c>
      <c r="I206" s="5">
        <v>112</v>
      </c>
      <c r="J206" s="5">
        <v>10080</v>
      </c>
      <c r="K206" s="88" t="s">
        <v>309</v>
      </c>
      <c r="L206" s="89">
        <v>2</v>
      </c>
      <c r="M206" s="5" t="s">
        <v>388</v>
      </c>
    </row>
    <row r="207" spans="1:13" x14ac:dyDescent="0.35">
      <c r="A207" s="87">
        <v>46102</v>
      </c>
      <c r="B207" s="5" t="s">
        <v>227</v>
      </c>
      <c r="C207" s="5">
        <v>410</v>
      </c>
      <c r="D207" s="5" t="s">
        <v>179</v>
      </c>
      <c r="E207" s="5" t="s">
        <v>79</v>
      </c>
      <c r="F207" s="5" t="s">
        <v>178</v>
      </c>
      <c r="G207" s="5">
        <v>1</v>
      </c>
      <c r="H207" s="5">
        <v>3000</v>
      </c>
      <c r="I207" s="5">
        <v>97</v>
      </c>
      <c r="J207" s="5">
        <v>291000</v>
      </c>
      <c r="K207" s="88" t="s">
        <v>309</v>
      </c>
      <c r="L207" s="89">
        <v>2</v>
      </c>
      <c r="M207" s="5" t="s">
        <v>390</v>
      </c>
    </row>
    <row r="208" spans="1:13" x14ac:dyDescent="0.35">
      <c r="A208" s="87">
        <v>46109</v>
      </c>
      <c r="B208" s="5" t="s">
        <v>227</v>
      </c>
      <c r="C208" s="5">
        <v>419</v>
      </c>
      <c r="D208" s="5" t="s">
        <v>179</v>
      </c>
      <c r="E208" s="5" t="s">
        <v>79</v>
      </c>
      <c r="F208" s="5" t="s">
        <v>178</v>
      </c>
      <c r="G208" s="5">
        <v>1</v>
      </c>
      <c r="H208" s="5">
        <v>3000</v>
      </c>
      <c r="I208" s="5">
        <v>125</v>
      </c>
      <c r="J208" s="5">
        <v>375000</v>
      </c>
      <c r="K208" s="88" t="s">
        <v>309</v>
      </c>
      <c r="L208" s="89">
        <v>2</v>
      </c>
      <c r="M208" s="5" t="s">
        <v>389</v>
      </c>
    </row>
    <row r="209" spans="1:13" x14ac:dyDescent="0.35">
      <c r="A209" s="87">
        <v>46113</v>
      </c>
      <c r="B209" s="5" t="s">
        <v>227</v>
      </c>
      <c r="C209" s="5">
        <v>18</v>
      </c>
      <c r="D209" s="5" t="s">
        <v>413</v>
      </c>
      <c r="E209" s="5" t="s">
        <v>87</v>
      </c>
      <c r="F209" s="5" t="s">
        <v>410</v>
      </c>
      <c r="G209" s="5">
        <v>1</v>
      </c>
      <c r="H209" s="5">
        <v>1500</v>
      </c>
      <c r="I209" s="5">
        <v>50</v>
      </c>
      <c r="J209" s="5">
        <v>75000</v>
      </c>
      <c r="K209" s="88" t="s">
        <v>418</v>
      </c>
      <c r="L209" s="89">
        <v>2</v>
      </c>
      <c r="M209" s="5" t="s">
        <v>554</v>
      </c>
    </row>
    <row r="210" spans="1:13" x14ac:dyDescent="0.35">
      <c r="A210" s="87">
        <v>46113</v>
      </c>
      <c r="B210" s="5" t="s">
        <v>227</v>
      </c>
      <c r="C210" s="5">
        <v>18</v>
      </c>
      <c r="D210" s="5" t="s">
        <v>411</v>
      </c>
      <c r="E210" s="5" t="s">
        <v>79</v>
      </c>
      <c r="F210" s="5" t="s">
        <v>178</v>
      </c>
      <c r="G210" s="5">
        <v>-1</v>
      </c>
      <c r="H210" s="5">
        <v>2500</v>
      </c>
      <c r="I210" s="5">
        <v>112.5930907173</v>
      </c>
      <c r="J210" s="5">
        <v>-281482.72679325001</v>
      </c>
      <c r="K210" s="88" t="s">
        <v>418</v>
      </c>
      <c r="L210" s="89">
        <v>2</v>
      </c>
      <c r="M210" s="5" t="s">
        <v>552</v>
      </c>
    </row>
    <row r="211" spans="1:13" x14ac:dyDescent="0.35">
      <c r="A211" s="87">
        <v>46113</v>
      </c>
      <c r="B211" s="5" t="s">
        <v>227</v>
      </c>
      <c r="C211" s="5">
        <v>18</v>
      </c>
      <c r="D211" s="5" t="s">
        <v>412</v>
      </c>
      <c r="E211" s="5" t="s">
        <v>84</v>
      </c>
      <c r="F211" s="5" t="s">
        <v>409</v>
      </c>
      <c r="G211" s="5">
        <v>1</v>
      </c>
      <c r="H211" s="5">
        <v>1000</v>
      </c>
      <c r="I211" s="5">
        <v>206.48272679324899</v>
      </c>
      <c r="J211" s="5">
        <v>206482.72679324899</v>
      </c>
      <c r="K211" s="88" t="s">
        <v>418</v>
      </c>
      <c r="L211" s="89">
        <v>2</v>
      </c>
      <c r="M211" s="5" t="s">
        <v>553</v>
      </c>
    </row>
    <row r="212" spans="1:13" x14ac:dyDescent="0.35">
      <c r="A212" s="87">
        <v>46115</v>
      </c>
      <c r="B212" s="5" t="s">
        <v>227</v>
      </c>
      <c r="C212" s="5">
        <v>424</v>
      </c>
      <c r="D212" s="5" t="s">
        <v>179</v>
      </c>
      <c r="E212" s="5" t="s">
        <v>79</v>
      </c>
      <c r="F212" s="5" t="s">
        <v>178</v>
      </c>
      <c r="G212" s="5">
        <v>1</v>
      </c>
      <c r="H212" s="5">
        <v>12000</v>
      </c>
      <c r="I212" s="5">
        <v>115</v>
      </c>
      <c r="J212" s="5">
        <v>1380000</v>
      </c>
      <c r="K212" s="88" t="s">
        <v>309</v>
      </c>
      <c r="L212" s="89">
        <v>2</v>
      </c>
      <c r="M212" s="5" t="s">
        <v>408</v>
      </c>
    </row>
    <row r="213" spans="1:13" x14ac:dyDescent="0.35">
      <c r="A213" s="87">
        <v>46125</v>
      </c>
      <c r="B213" s="5" t="s">
        <v>227</v>
      </c>
      <c r="C213" s="5" t="s">
        <v>455</v>
      </c>
      <c r="D213" s="5" t="s">
        <v>457</v>
      </c>
      <c r="E213" s="5" t="s">
        <v>84</v>
      </c>
      <c r="F213" s="5" t="s">
        <v>409</v>
      </c>
      <c r="G213" s="5">
        <v>-1</v>
      </c>
      <c r="H213" s="5">
        <v>1840</v>
      </c>
      <c r="I213" s="5">
        <v>300.88495652173913</v>
      </c>
      <c r="J213" s="5">
        <v>-553628.31999999995</v>
      </c>
      <c r="K213" s="88" t="s">
        <v>458</v>
      </c>
      <c r="L213" s="89">
        <v>2</v>
      </c>
      <c r="M213" s="5" t="s">
        <v>467</v>
      </c>
    </row>
    <row r="214" spans="1:13" x14ac:dyDescent="0.35">
      <c r="A214" s="87">
        <v>46130</v>
      </c>
      <c r="B214" s="5" t="s">
        <v>506</v>
      </c>
      <c r="C214" s="5">
        <v>19</v>
      </c>
      <c r="D214" s="5" t="s">
        <v>413</v>
      </c>
      <c r="E214" s="5" t="s">
        <v>87</v>
      </c>
      <c r="F214" s="5" t="s">
        <v>410</v>
      </c>
      <c r="G214" s="5">
        <v>1</v>
      </c>
      <c r="H214" s="5">
        <v>2100</v>
      </c>
      <c r="I214" s="5">
        <v>50</v>
      </c>
      <c r="J214" s="5">
        <v>105000</v>
      </c>
      <c r="K214" s="88" t="s">
        <v>418</v>
      </c>
      <c r="L214" s="89">
        <v>2</v>
      </c>
      <c r="M214" s="5" t="s">
        <v>557</v>
      </c>
    </row>
    <row r="215" spans="1:13" x14ac:dyDescent="0.35">
      <c r="A215" s="87">
        <v>46130</v>
      </c>
      <c r="B215" s="5" t="s">
        <v>506</v>
      </c>
      <c r="C215" s="5">
        <v>19</v>
      </c>
      <c r="D215" s="5" t="s">
        <v>411</v>
      </c>
      <c r="E215" s="5" t="s">
        <v>79</v>
      </c>
      <c r="F215" s="5" t="s">
        <v>178</v>
      </c>
      <c r="G215" s="5">
        <v>-1</v>
      </c>
      <c r="H215" s="5">
        <v>3500</v>
      </c>
      <c r="I215" s="5">
        <v>112.86352996254701</v>
      </c>
      <c r="J215" s="5">
        <v>-395022.35486891452</v>
      </c>
      <c r="K215" s="88" t="s">
        <v>418</v>
      </c>
      <c r="L215" s="89">
        <v>2</v>
      </c>
      <c r="M215" s="5" t="s">
        <v>555</v>
      </c>
    </row>
    <row r="216" spans="1:13" x14ac:dyDescent="0.35">
      <c r="A216" s="87">
        <v>46130</v>
      </c>
      <c r="B216" s="5" t="s">
        <v>506</v>
      </c>
      <c r="C216" s="5">
        <v>19</v>
      </c>
      <c r="D216" s="5" t="s">
        <v>412</v>
      </c>
      <c r="E216" s="5" t="s">
        <v>84</v>
      </c>
      <c r="F216" s="5" t="s">
        <v>409</v>
      </c>
      <c r="G216" s="5">
        <v>1</v>
      </c>
      <c r="H216" s="5">
        <v>1400</v>
      </c>
      <c r="I216" s="5">
        <v>207.15882490636699</v>
      </c>
      <c r="J216" s="5">
        <v>290022.35486891377</v>
      </c>
      <c r="K216" s="88" t="s">
        <v>418</v>
      </c>
      <c r="L216" s="89">
        <v>2</v>
      </c>
      <c r="M216" s="5" t="s">
        <v>556</v>
      </c>
    </row>
    <row r="217" spans="1:13" x14ac:dyDescent="0.35">
      <c r="A217" s="87"/>
    </row>
    <row r="218" spans="1:13" x14ac:dyDescent="0.35">
      <c r="A218" s="87"/>
    </row>
    <row r="219" spans="1:13" x14ac:dyDescent="0.35">
      <c r="A219" s="87"/>
    </row>
  </sheetData>
  <autoFilter ref="A1:M217" xr:uid="{0D3EAA6C-E0E8-4DF0-9755-B236B29FB1D3}"/>
  <sortState xmlns:xlrd2="http://schemas.microsoft.com/office/spreadsheetml/2017/richdata2" ref="A2:M216">
    <sortCondition ref="A2"/>
    <sortCondition ref="L2"/>
    <sortCondition ref="D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RebuildStockJournalFresh">
                <anchor moveWithCells="1" sizeWithCells="1">
                  <from>
                    <xdr:col>5</xdr:col>
                    <xdr:colOff>234950</xdr:colOff>
                    <xdr:row>0</xdr:row>
                    <xdr:rowOff>31750</xdr:rowOff>
                  </from>
                  <to>
                    <xdr:col>9</xdr:col>
                    <xdr:colOff>869950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ReapplyAllFinalRates">
                <anchor moveWithCells="1" sizeWithCells="1">
                  <from>
                    <xdr:col>10</xdr:col>
                    <xdr:colOff>533400</xdr:colOff>
                    <xdr:row>0</xdr:row>
                    <xdr:rowOff>31750</xdr:rowOff>
                  </from>
                  <to>
                    <xdr:col>12</xdr:col>
                    <xdr:colOff>933450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4A5C3-62FE-4897-8224-F6AC62668724}">
  <sheetPr codeName="Sheet20">
    <tabColor rgb="FF002060"/>
    <pageSetUpPr fitToPage="1"/>
  </sheetPr>
  <dimension ref="A1:O10"/>
  <sheetViews>
    <sheetView showGridLines="0" zoomScaleNormal="100" workbookViewId="0">
      <selection activeCell="D16" sqref="D16"/>
    </sheetView>
  </sheetViews>
  <sheetFormatPr defaultRowHeight="14.5" x14ac:dyDescent="0.35"/>
  <cols>
    <col min="1" max="1" width="5" style="76" customWidth="1"/>
    <col min="2" max="2" width="13.1796875" style="5" customWidth="1"/>
    <col min="3" max="3" width="18.26953125" style="5" bestFit="1" customWidth="1"/>
    <col min="4" max="4" width="26.90625" style="5" bestFit="1" customWidth="1"/>
    <col min="5" max="5" width="9.6328125" style="5" bestFit="1" customWidth="1"/>
    <col min="6" max="6" width="25.1796875" style="5" customWidth="1"/>
    <col min="7" max="7" width="19.54296875" style="5" bestFit="1" customWidth="1"/>
    <col min="8" max="8" width="4.81640625" style="5" bestFit="1" customWidth="1"/>
    <col min="9" max="9" width="12.453125" style="5" bestFit="1" customWidth="1"/>
    <col min="10" max="10" width="4.36328125" style="5" bestFit="1" customWidth="1"/>
    <col min="11" max="11" width="11.26953125" style="5" customWidth="1"/>
    <col min="12" max="12" width="12.54296875" style="5" customWidth="1"/>
    <col min="13" max="13" width="11" style="5" bestFit="1" customWidth="1"/>
    <col min="14" max="14" width="10.81640625" style="5" customWidth="1"/>
    <col min="15" max="15" width="15.36328125" style="5" bestFit="1" customWidth="1"/>
  </cols>
  <sheetData>
    <row r="1" spans="1:15" s="78" customFormat="1" x14ac:dyDescent="0.35">
      <c r="A1" s="68" t="s">
        <v>130</v>
      </c>
      <c r="B1" s="68" t="s">
        <v>135</v>
      </c>
      <c r="C1" s="69" t="s">
        <v>58</v>
      </c>
      <c r="D1" s="69" t="s">
        <v>37</v>
      </c>
      <c r="E1" s="69" t="s">
        <v>127</v>
      </c>
      <c r="F1" s="69" t="s">
        <v>125</v>
      </c>
      <c r="G1" s="69" t="s">
        <v>128</v>
      </c>
      <c r="H1" s="69" t="s">
        <v>33</v>
      </c>
      <c r="I1" s="69" t="s">
        <v>131</v>
      </c>
      <c r="J1" s="69" t="s">
        <v>132</v>
      </c>
      <c r="K1" s="69" t="s">
        <v>133</v>
      </c>
      <c r="L1" s="69" t="s">
        <v>136</v>
      </c>
      <c r="M1" s="69" t="s">
        <v>137</v>
      </c>
      <c r="N1" s="69" t="s">
        <v>101</v>
      </c>
      <c r="O1" s="69" t="s">
        <v>36</v>
      </c>
    </row>
    <row r="2" spans="1:15" x14ac:dyDescent="0.35">
      <c r="A2" s="71">
        <v>1</v>
      </c>
      <c r="B2" s="72" t="s">
        <v>251</v>
      </c>
      <c r="C2" s="72" t="s">
        <v>246</v>
      </c>
      <c r="D2" s="72" t="s">
        <v>258</v>
      </c>
      <c r="E2" s="72" t="s">
        <v>247</v>
      </c>
      <c r="F2" s="72" t="s">
        <v>248</v>
      </c>
      <c r="G2" s="72" t="s">
        <v>249</v>
      </c>
      <c r="H2" s="72" t="s">
        <v>250</v>
      </c>
      <c r="I2" s="73">
        <v>45124</v>
      </c>
      <c r="J2" s="72">
        <v>1</v>
      </c>
      <c r="K2" s="74">
        <v>1000000</v>
      </c>
      <c r="L2" s="74">
        <v>1000000</v>
      </c>
      <c r="M2" s="74"/>
      <c r="N2" s="72" t="s">
        <v>259</v>
      </c>
      <c r="O2" s="72"/>
    </row>
    <row r="3" spans="1:15" x14ac:dyDescent="0.35">
      <c r="A3" s="71">
        <v>2</v>
      </c>
      <c r="B3" s="72" t="s">
        <v>254</v>
      </c>
      <c r="C3" s="72" t="s">
        <v>252</v>
      </c>
      <c r="D3" s="72" t="s">
        <v>257</v>
      </c>
      <c r="E3" s="72" t="s">
        <v>253</v>
      </c>
      <c r="F3" s="72" t="s">
        <v>248</v>
      </c>
      <c r="G3" s="72" t="s">
        <v>249</v>
      </c>
      <c r="H3" s="72" t="s">
        <v>250</v>
      </c>
      <c r="I3" s="73">
        <v>45124</v>
      </c>
      <c r="J3" s="72">
        <v>5</v>
      </c>
      <c r="K3" s="74">
        <v>90000</v>
      </c>
      <c r="L3" s="74">
        <v>450000</v>
      </c>
      <c r="M3" s="74"/>
      <c r="N3" s="72" t="s">
        <v>259</v>
      </c>
      <c r="O3" s="72"/>
    </row>
    <row r="4" spans="1:15" x14ac:dyDescent="0.35">
      <c r="A4" s="71">
        <v>3</v>
      </c>
      <c r="B4" s="72" t="s">
        <v>255</v>
      </c>
      <c r="C4" s="72" t="s">
        <v>246</v>
      </c>
      <c r="D4" s="72" t="s">
        <v>258</v>
      </c>
      <c r="E4" s="72" t="s">
        <v>247</v>
      </c>
      <c r="F4" s="72" t="s">
        <v>248</v>
      </c>
      <c r="G4" s="72" t="s">
        <v>249</v>
      </c>
      <c r="H4" s="72" t="s">
        <v>250</v>
      </c>
      <c r="I4" s="73">
        <v>45490</v>
      </c>
      <c r="J4" s="72">
        <v>1</v>
      </c>
      <c r="K4" s="74">
        <v>316151</v>
      </c>
      <c r="L4" s="74">
        <v>316151</v>
      </c>
      <c r="M4" s="72"/>
      <c r="N4" s="72" t="s">
        <v>259</v>
      </c>
      <c r="O4" s="72"/>
    </row>
    <row r="5" spans="1:15" x14ac:dyDescent="0.35">
      <c r="A5" s="71">
        <v>4</v>
      </c>
      <c r="B5" s="72" t="s">
        <v>256</v>
      </c>
      <c r="C5" s="72" t="s">
        <v>252</v>
      </c>
      <c r="D5" s="72" t="s">
        <v>257</v>
      </c>
      <c r="E5" s="72" t="s">
        <v>253</v>
      </c>
      <c r="F5" s="72" t="s">
        <v>248</v>
      </c>
      <c r="G5" s="72" t="s">
        <v>249</v>
      </c>
      <c r="H5" s="72" t="s">
        <v>250</v>
      </c>
      <c r="I5" s="73">
        <v>45490</v>
      </c>
      <c r="J5" s="72">
        <v>1</v>
      </c>
      <c r="K5" s="74">
        <v>466317.5</v>
      </c>
      <c r="L5" s="74">
        <v>466317.5</v>
      </c>
      <c r="M5" s="72"/>
      <c r="N5" s="72" t="s">
        <v>259</v>
      </c>
      <c r="O5" s="72"/>
    </row>
    <row r="6" spans="1:15" x14ac:dyDescent="0.35">
      <c r="A6" s="71"/>
      <c r="B6" s="72"/>
      <c r="C6" s="72"/>
      <c r="D6" s="72"/>
      <c r="E6" s="72"/>
      <c r="F6" s="72"/>
      <c r="G6" s="72"/>
      <c r="H6" s="72"/>
      <c r="I6" s="73"/>
      <c r="J6" s="72"/>
      <c r="K6" s="74"/>
      <c r="L6" s="74"/>
      <c r="M6" s="72"/>
      <c r="N6" s="72"/>
      <c r="O6" s="72"/>
    </row>
    <row r="7" spans="1:15" x14ac:dyDescent="0.35">
      <c r="A7" s="71"/>
      <c r="B7" s="72"/>
      <c r="C7" s="72"/>
      <c r="D7" s="72"/>
      <c r="E7" s="72"/>
      <c r="F7" s="72"/>
      <c r="G7" s="72"/>
      <c r="H7" s="72"/>
      <c r="I7" s="75"/>
      <c r="J7" s="72"/>
      <c r="K7" s="74"/>
      <c r="L7" s="74"/>
      <c r="M7" s="72"/>
      <c r="N7" s="72"/>
      <c r="O7" s="72"/>
    </row>
    <row r="8" spans="1:15" x14ac:dyDescent="0.35">
      <c r="A8" s="71"/>
      <c r="B8" s="72"/>
      <c r="C8" s="72"/>
      <c r="D8" s="72"/>
      <c r="E8" s="72"/>
      <c r="F8" s="72"/>
      <c r="G8" s="72"/>
      <c r="H8" s="72"/>
      <c r="I8" s="73"/>
      <c r="J8" s="72"/>
      <c r="K8" s="74"/>
      <c r="L8" s="74"/>
      <c r="M8" s="72"/>
      <c r="N8" s="72"/>
      <c r="O8" s="72"/>
    </row>
    <row r="9" spans="1:15" x14ac:dyDescent="0.35">
      <c r="A9" s="71"/>
      <c r="B9" s="72"/>
      <c r="C9" s="72"/>
      <c r="D9" s="72"/>
      <c r="E9" s="72"/>
      <c r="F9" s="72"/>
      <c r="G9" s="72"/>
      <c r="H9" s="72"/>
      <c r="I9" s="73"/>
      <c r="J9" s="72"/>
      <c r="K9" s="74"/>
      <c r="L9" s="74"/>
      <c r="M9" s="72"/>
      <c r="N9" s="72"/>
      <c r="O9" s="72"/>
    </row>
    <row r="10" spans="1:15" x14ac:dyDescent="0.35">
      <c r="A10" s="71"/>
      <c r="B10" s="72"/>
      <c r="C10" s="72"/>
      <c r="D10" s="72"/>
      <c r="E10" s="72"/>
      <c r="F10" s="72"/>
      <c r="G10" s="72"/>
      <c r="H10" s="72"/>
      <c r="I10" s="73"/>
      <c r="J10" s="72"/>
      <c r="K10" s="74"/>
      <c r="L10" s="74"/>
      <c r="M10" s="72"/>
      <c r="N10" s="72"/>
      <c r="O10" s="72"/>
    </row>
  </sheetData>
  <printOptions horizontalCentered="1"/>
  <pageMargins left="0.4" right="0.4" top="0.5" bottom="0.5" header="0.3" footer="0.3"/>
  <pageSetup paperSize="9" scale="69" fitToHeight="0" orientation="landscape" verticalDpi="0" r:id="rId1"/>
  <headerFooter>
    <oddHeader>&amp;L&amp;B&amp;14Ganesh Tel Mill&amp;R&amp;B&amp;12PAN: 604141622</oddHeader>
    <oddFooter>&amp;L&amp;10Prepared by: Suresh Sharma&amp;C&amp;10Page &amp;P of &amp;N&amp;R&amp;10Tel: 9851135421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05D75-4C57-4638-B777-E0CDB3773F68}">
  <sheetPr codeName="Sheet9">
    <tabColor rgb="FF002060"/>
    <pageSetUpPr fitToPage="1"/>
  </sheetPr>
  <dimension ref="A1:W104"/>
  <sheetViews>
    <sheetView showGridLines="0" topLeftCell="F1" zoomScaleNormal="100" workbookViewId="0">
      <selection activeCell="N20" sqref="N20"/>
    </sheetView>
  </sheetViews>
  <sheetFormatPr defaultRowHeight="14" x14ac:dyDescent="0.3"/>
  <cols>
    <col min="1" max="1" width="11.54296875" style="43" customWidth="1"/>
    <col min="2" max="2" width="12.26953125" style="8" customWidth="1"/>
    <col min="3" max="3" width="7.1796875" style="8" bestFit="1" customWidth="1"/>
    <col min="4" max="4" width="24.1796875" style="8" bestFit="1" customWidth="1"/>
    <col min="5" max="5" width="13.54296875" style="43" customWidth="1"/>
    <col min="6" max="6" width="18.08984375" style="8" bestFit="1" customWidth="1"/>
    <col min="7" max="7" width="17.26953125" style="8" customWidth="1"/>
    <col min="8" max="8" width="9.54296875" style="43" customWidth="1"/>
    <col min="9" max="9" width="14.7265625" style="43" customWidth="1"/>
    <col min="10" max="10" width="10.1796875" style="8" customWidth="1"/>
    <col min="11" max="11" width="15.6328125" style="43" customWidth="1"/>
    <col min="12" max="12" width="13.1796875" style="43" bestFit="1" customWidth="1"/>
    <col min="13" max="13" width="14.26953125" style="43" bestFit="1" customWidth="1"/>
    <col min="14" max="14" width="14" style="43" customWidth="1"/>
    <col min="15" max="15" width="14.1796875" style="43" customWidth="1"/>
    <col min="16" max="16" width="12.1796875" style="43" customWidth="1"/>
    <col min="17" max="17" width="10.453125" style="43" bestFit="1" customWidth="1"/>
    <col min="18" max="18" width="13.7265625" style="43" customWidth="1"/>
    <col min="19" max="19" width="10" style="43" bestFit="1" customWidth="1"/>
    <col min="20" max="20" width="11.08984375" style="43" bestFit="1" customWidth="1"/>
    <col min="21" max="21" width="12.6328125" style="43" customWidth="1"/>
    <col min="22" max="22" width="15.1796875" style="9" bestFit="1" customWidth="1"/>
    <col min="23" max="23" width="10.26953125" style="43" customWidth="1"/>
    <col min="24" max="16384" width="8.7265625" style="2"/>
  </cols>
  <sheetData>
    <row r="1" spans="1:23" s="61" customFormat="1" ht="28" x14ac:dyDescent="0.35">
      <c r="A1" s="60" t="s">
        <v>16</v>
      </c>
      <c r="B1" s="60" t="s">
        <v>50</v>
      </c>
      <c r="C1" s="60" t="s">
        <v>40</v>
      </c>
      <c r="D1" s="60" t="s">
        <v>41</v>
      </c>
      <c r="E1" s="60" t="s">
        <v>42</v>
      </c>
      <c r="F1" s="60" t="s">
        <v>43</v>
      </c>
      <c r="G1" s="60" t="s">
        <v>44</v>
      </c>
      <c r="H1" s="60" t="s">
        <v>51</v>
      </c>
      <c r="I1" s="60" t="s">
        <v>52</v>
      </c>
      <c r="J1" s="60" t="s">
        <v>53</v>
      </c>
      <c r="K1" s="60" t="s">
        <v>54</v>
      </c>
      <c r="L1" s="60" t="s">
        <v>55</v>
      </c>
      <c r="M1" s="60" t="s">
        <v>56</v>
      </c>
      <c r="N1" s="60" t="s">
        <v>57</v>
      </c>
      <c r="O1" s="60" t="s">
        <v>129</v>
      </c>
      <c r="P1" s="60" t="s">
        <v>62</v>
      </c>
      <c r="Q1" s="60" t="s">
        <v>63</v>
      </c>
      <c r="R1" s="60" t="s">
        <v>59</v>
      </c>
      <c r="S1" s="60" t="s">
        <v>60</v>
      </c>
      <c r="T1" s="60" t="s">
        <v>61</v>
      </c>
      <c r="U1" s="60" t="s">
        <v>134</v>
      </c>
      <c r="V1" s="60" t="s">
        <v>146</v>
      </c>
      <c r="W1" s="60" t="s">
        <v>147</v>
      </c>
    </row>
    <row r="2" spans="1:23" x14ac:dyDescent="0.3">
      <c r="A2" s="56">
        <v>46015</v>
      </c>
      <c r="B2" s="58" t="s">
        <v>177</v>
      </c>
      <c r="C2" s="58">
        <v>232</v>
      </c>
      <c r="D2" s="58" t="s">
        <v>176</v>
      </c>
      <c r="E2" s="57">
        <v>600723602</v>
      </c>
      <c r="F2" s="58" t="s">
        <v>178</v>
      </c>
      <c r="G2" s="58" t="s">
        <v>178</v>
      </c>
      <c r="H2" s="57">
        <v>3000</v>
      </c>
      <c r="I2" s="59">
        <v>115</v>
      </c>
      <c r="J2" s="58" t="s">
        <v>172</v>
      </c>
      <c r="K2" s="59">
        <v>345000</v>
      </c>
      <c r="L2" s="59">
        <v>44850</v>
      </c>
      <c r="M2" s="59">
        <v>389850</v>
      </c>
      <c r="N2" s="57"/>
      <c r="O2" s="57"/>
      <c r="P2" s="57"/>
      <c r="Q2" s="59"/>
      <c r="R2" s="59"/>
      <c r="S2" s="59"/>
      <c r="T2" s="59"/>
      <c r="U2" s="57"/>
      <c r="V2" s="65" t="s">
        <v>179</v>
      </c>
      <c r="W2" s="57"/>
    </row>
    <row r="3" spans="1:23" x14ac:dyDescent="0.3">
      <c r="A3" s="56">
        <v>45864</v>
      </c>
      <c r="B3" s="58" t="s">
        <v>180</v>
      </c>
      <c r="C3" s="58">
        <v>11</v>
      </c>
      <c r="D3" s="58" t="s">
        <v>181</v>
      </c>
      <c r="E3" s="57">
        <v>303588188</v>
      </c>
      <c r="F3" s="58" t="s">
        <v>178</v>
      </c>
      <c r="G3" s="58" t="s">
        <v>178</v>
      </c>
      <c r="H3" s="57">
        <v>3000</v>
      </c>
      <c r="I3" s="59">
        <v>115.9</v>
      </c>
      <c r="J3" s="58" t="s">
        <v>172</v>
      </c>
      <c r="K3" s="59">
        <v>347700</v>
      </c>
      <c r="L3" s="59">
        <v>45201</v>
      </c>
      <c r="M3" s="59">
        <v>392901</v>
      </c>
      <c r="N3" s="59"/>
      <c r="O3" s="57"/>
      <c r="P3" s="57"/>
      <c r="Q3" s="59"/>
      <c r="R3" s="57"/>
      <c r="S3" s="57"/>
      <c r="T3" s="57"/>
      <c r="U3" s="57"/>
      <c r="V3" s="65" t="s">
        <v>179</v>
      </c>
      <c r="W3" s="57"/>
    </row>
    <row r="4" spans="1:23" x14ac:dyDescent="0.3">
      <c r="A4" s="56">
        <v>45871</v>
      </c>
      <c r="B4" s="58" t="s">
        <v>180</v>
      </c>
      <c r="C4" s="58">
        <v>29</v>
      </c>
      <c r="D4" s="58" t="s">
        <v>176</v>
      </c>
      <c r="E4" s="57">
        <v>600723602</v>
      </c>
      <c r="F4" s="58" t="s">
        <v>178</v>
      </c>
      <c r="G4" s="58" t="s">
        <v>178</v>
      </c>
      <c r="H4" s="57">
        <v>3000</v>
      </c>
      <c r="I4" s="59">
        <v>105</v>
      </c>
      <c r="J4" s="58" t="s">
        <v>172</v>
      </c>
      <c r="K4" s="59">
        <v>315000</v>
      </c>
      <c r="L4" s="59">
        <v>40950</v>
      </c>
      <c r="M4" s="59">
        <v>355950</v>
      </c>
      <c r="N4" s="57"/>
      <c r="O4" s="57"/>
      <c r="P4" s="57"/>
      <c r="Q4" s="57"/>
      <c r="R4" s="57"/>
      <c r="S4" s="57"/>
      <c r="T4" s="57"/>
      <c r="U4" s="57"/>
      <c r="V4" s="65" t="s">
        <v>179</v>
      </c>
      <c r="W4" s="57"/>
    </row>
    <row r="5" spans="1:23" x14ac:dyDescent="0.3">
      <c r="A5" s="56">
        <v>46017</v>
      </c>
      <c r="B5" s="58" t="s">
        <v>177</v>
      </c>
      <c r="C5" s="58">
        <v>236</v>
      </c>
      <c r="D5" s="58" t="s">
        <v>176</v>
      </c>
      <c r="E5" s="57">
        <v>600723602</v>
      </c>
      <c r="F5" s="58" t="s">
        <v>182</v>
      </c>
      <c r="G5" s="58" t="s">
        <v>182</v>
      </c>
      <c r="H5" s="57">
        <v>450</v>
      </c>
      <c r="I5" s="59">
        <v>105</v>
      </c>
      <c r="J5" s="58" t="s">
        <v>171</v>
      </c>
      <c r="K5" s="57"/>
      <c r="L5" s="57"/>
      <c r="M5" s="57"/>
      <c r="N5" s="59">
        <v>47250</v>
      </c>
      <c r="O5" s="57"/>
      <c r="P5" s="57"/>
      <c r="Q5" s="57"/>
      <c r="R5" s="57"/>
      <c r="S5" s="57"/>
      <c r="T5" s="57"/>
      <c r="U5" s="57"/>
      <c r="V5" s="65" t="s">
        <v>179</v>
      </c>
      <c r="W5" s="57"/>
    </row>
    <row r="6" spans="1:23" x14ac:dyDescent="0.3">
      <c r="A6" s="56">
        <v>45942</v>
      </c>
      <c r="B6" s="58" t="s">
        <v>183</v>
      </c>
      <c r="C6" s="58">
        <v>110</v>
      </c>
      <c r="D6" s="58" t="s">
        <v>176</v>
      </c>
      <c r="E6" s="57">
        <v>600723602</v>
      </c>
      <c r="F6" s="58" t="s">
        <v>178</v>
      </c>
      <c r="G6" s="58" t="s">
        <v>178</v>
      </c>
      <c r="H6" s="57">
        <v>3000</v>
      </c>
      <c r="I6" s="59">
        <v>118</v>
      </c>
      <c r="J6" s="58" t="s">
        <v>172</v>
      </c>
      <c r="K6" s="59">
        <v>354000</v>
      </c>
      <c r="L6" s="59">
        <v>46020</v>
      </c>
      <c r="M6" s="59">
        <v>400020</v>
      </c>
      <c r="N6" s="59"/>
      <c r="O6" s="57"/>
      <c r="P6" s="57"/>
      <c r="Q6" s="57"/>
      <c r="R6" s="57"/>
      <c r="S6" s="57"/>
      <c r="T6" s="57"/>
      <c r="U6" s="57"/>
      <c r="V6" s="65" t="s">
        <v>179</v>
      </c>
      <c r="W6" s="57"/>
    </row>
    <row r="7" spans="1:23" x14ac:dyDescent="0.3">
      <c r="A7" s="56">
        <v>46003</v>
      </c>
      <c r="B7" s="58" t="s">
        <v>184</v>
      </c>
      <c r="C7" s="58">
        <v>208</v>
      </c>
      <c r="D7" s="58" t="s">
        <v>176</v>
      </c>
      <c r="E7" s="57">
        <v>600723602</v>
      </c>
      <c r="F7" s="58" t="s">
        <v>178</v>
      </c>
      <c r="G7" s="58" t="s">
        <v>178</v>
      </c>
      <c r="H7" s="57">
        <v>3050</v>
      </c>
      <c r="I7" s="59">
        <v>118.5</v>
      </c>
      <c r="J7" s="58" t="s">
        <v>172</v>
      </c>
      <c r="K7" s="59">
        <v>361425</v>
      </c>
      <c r="L7" s="59">
        <v>46985.25</v>
      </c>
      <c r="M7" s="59">
        <v>408410.25</v>
      </c>
      <c r="N7" s="57"/>
      <c r="O7" s="57"/>
      <c r="P7" s="57"/>
      <c r="Q7" s="57"/>
      <c r="R7" s="57"/>
      <c r="S7" s="57"/>
      <c r="T7" s="57"/>
      <c r="U7" s="57"/>
      <c r="V7" s="65" t="s">
        <v>179</v>
      </c>
      <c r="W7" s="57"/>
    </row>
    <row r="8" spans="1:23" x14ac:dyDescent="0.3">
      <c r="A8" s="56">
        <v>45902</v>
      </c>
      <c r="B8" s="58" t="s">
        <v>185</v>
      </c>
      <c r="C8" s="58">
        <v>80</v>
      </c>
      <c r="D8" s="58" t="s">
        <v>176</v>
      </c>
      <c r="E8" s="57">
        <v>600723602</v>
      </c>
      <c r="F8" s="58" t="s">
        <v>178</v>
      </c>
      <c r="G8" s="58" t="s">
        <v>178</v>
      </c>
      <c r="H8" s="57">
        <v>3000</v>
      </c>
      <c r="I8" s="59">
        <v>116</v>
      </c>
      <c r="J8" s="58" t="s">
        <v>172</v>
      </c>
      <c r="K8" s="59">
        <v>348000</v>
      </c>
      <c r="L8" s="59">
        <v>45240</v>
      </c>
      <c r="M8" s="59">
        <v>393240</v>
      </c>
      <c r="N8" s="57"/>
      <c r="O8" s="57"/>
      <c r="P8" s="57"/>
      <c r="Q8" s="57"/>
      <c r="R8" s="57"/>
      <c r="S8" s="57"/>
      <c r="T8" s="57"/>
      <c r="U8" s="57"/>
      <c r="V8" s="65" t="s">
        <v>179</v>
      </c>
      <c r="W8" s="57"/>
    </row>
    <row r="9" spans="1:23" x14ac:dyDescent="0.3">
      <c r="A9" s="56">
        <v>45903</v>
      </c>
      <c r="B9" s="58" t="s">
        <v>185</v>
      </c>
      <c r="C9" s="58">
        <v>81</v>
      </c>
      <c r="D9" s="58" t="s">
        <v>176</v>
      </c>
      <c r="E9" s="57">
        <v>600723602</v>
      </c>
      <c r="F9" s="58" t="s">
        <v>178</v>
      </c>
      <c r="G9" s="58" t="s">
        <v>178</v>
      </c>
      <c r="H9" s="57">
        <v>3000</v>
      </c>
      <c r="I9" s="59">
        <v>120</v>
      </c>
      <c r="J9" s="58" t="s">
        <v>172</v>
      </c>
      <c r="K9" s="59">
        <v>360000</v>
      </c>
      <c r="L9" s="59">
        <v>46800</v>
      </c>
      <c r="M9" s="59">
        <v>406800</v>
      </c>
      <c r="N9" s="57"/>
      <c r="O9" s="57"/>
      <c r="P9" s="57"/>
      <c r="Q9" s="57"/>
      <c r="R9" s="57"/>
      <c r="S9" s="57"/>
      <c r="T9" s="57"/>
      <c r="U9" s="57"/>
      <c r="V9" s="65" t="s">
        <v>179</v>
      </c>
      <c r="W9" s="57"/>
    </row>
    <row r="10" spans="1:23" x14ac:dyDescent="0.3">
      <c r="A10" s="56">
        <v>45902</v>
      </c>
      <c r="B10" s="58" t="s">
        <v>185</v>
      </c>
      <c r="C10" s="58">
        <v>79</v>
      </c>
      <c r="D10" s="58" t="s">
        <v>176</v>
      </c>
      <c r="E10" s="57">
        <v>600723602</v>
      </c>
      <c r="F10" s="58" t="s">
        <v>178</v>
      </c>
      <c r="G10" s="58" t="s">
        <v>178</v>
      </c>
      <c r="H10" s="57">
        <v>3000</v>
      </c>
      <c r="I10" s="59">
        <v>108</v>
      </c>
      <c r="J10" s="58" t="s">
        <v>172</v>
      </c>
      <c r="K10" s="59">
        <v>324000</v>
      </c>
      <c r="L10" s="59">
        <v>42120</v>
      </c>
      <c r="M10" s="59">
        <v>366120</v>
      </c>
      <c r="N10" s="57"/>
      <c r="O10" s="57"/>
      <c r="P10" s="57"/>
      <c r="Q10" s="57"/>
      <c r="R10" s="57"/>
      <c r="S10" s="57"/>
      <c r="T10" s="57"/>
      <c r="U10" s="57"/>
      <c r="V10" s="65" t="s">
        <v>179</v>
      </c>
      <c r="W10" s="57"/>
    </row>
    <row r="11" spans="1:23" x14ac:dyDescent="0.3">
      <c r="A11" s="56">
        <v>46041</v>
      </c>
      <c r="B11" s="58" t="s">
        <v>186</v>
      </c>
      <c r="C11" s="58">
        <v>276</v>
      </c>
      <c r="D11" s="58" t="s">
        <v>176</v>
      </c>
      <c r="E11" s="57">
        <v>600723602</v>
      </c>
      <c r="F11" s="58" t="s">
        <v>178</v>
      </c>
      <c r="G11" s="58" t="s">
        <v>178</v>
      </c>
      <c r="H11" s="57">
        <v>3000</v>
      </c>
      <c r="I11" s="59">
        <v>108</v>
      </c>
      <c r="J11" s="58" t="s">
        <v>172</v>
      </c>
      <c r="K11" s="59">
        <v>324000</v>
      </c>
      <c r="L11" s="59">
        <v>42120</v>
      </c>
      <c r="M11" s="59">
        <v>366120</v>
      </c>
      <c r="N11" s="57"/>
      <c r="O11" s="57"/>
      <c r="P11" s="57"/>
      <c r="Q11" s="59"/>
      <c r="R11" s="59"/>
      <c r="S11" s="59"/>
      <c r="T11" s="59"/>
      <c r="U11" s="57"/>
      <c r="V11" s="65" t="s">
        <v>179</v>
      </c>
      <c r="W11" s="57"/>
    </row>
    <row r="12" spans="1:23" x14ac:dyDescent="0.3">
      <c r="A12" s="56">
        <v>45987</v>
      </c>
      <c r="B12" s="58" t="s">
        <v>184</v>
      </c>
      <c r="C12" s="58">
        <v>1505</v>
      </c>
      <c r="D12" s="58" t="s">
        <v>187</v>
      </c>
      <c r="E12" s="57">
        <v>303522140</v>
      </c>
      <c r="F12" s="58" t="s">
        <v>189</v>
      </c>
      <c r="G12" s="58" t="s">
        <v>189</v>
      </c>
      <c r="H12" s="57">
        <v>210</v>
      </c>
      <c r="I12" s="59">
        <v>141</v>
      </c>
      <c r="J12" s="58" t="s">
        <v>171</v>
      </c>
      <c r="K12" s="59"/>
      <c r="L12" s="59"/>
      <c r="M12" s="59"/>
      <c r="N12" s="59">
        <v>29610</v>
      </c>
      <c r="O12" s="57"/>
      <c r="P12" s="57"/>
      <c r="Q12" s="59"/>
      <c r="R12" s="57"/>
      <c r="S12" s="57"/>
      <c r="T12" s="57"/>
      <c r="U12" s="57"/>
      <c r="V12" s="65" t="s">
        <v>179</v>
      </c>
      <c r="W12" s="57"/>
    </row>
    <row r="13" spans="1:23" x14ac:dyDescent="0.3">
      <c r="A13" s="56">
        <v>45987</v>
      </c>
      <c r="B13" s="58" t="s">
        <v>184</v>
      </c>
      <c r="C13" s="58">
        <v>1505</v>
      </c>
      <c r="D13" s="58" t="s">
        <v>187</v>
      </c>
      <c r="E13" s="57">
        <v>303522140</v>
      </c>
      <c r="F13" s="58" t="s">
        <v>197</v>
      </c>
      <c r="G13" s="58" t="s">
        <v>197</v>
      </c>
      <c r="H13" s="57">
        <v>100</v>
      </c>
      <c r="I13" s="59">
        <v>176</v>
      </c>
      <c r="J13" s="58" t="s">
        <v>171</v>
      </c>
      <c r="K13" s="57"/>
      <c r="L13" s="57"/>
      <c r="M13" s="57"/>
      <c r="N13" s="59">
        <v>17600</v>
      </c>
      <c r="O13" s="57"/>
      <c r="P13" s="57"/>
      <c r="Q13" s="59"/>
      <c r="R13" s="59"/>
      <c r="S13" s="59"/>
      <c r="T13" s="59"/>
      <c r="U13" s="57"/>
      <c r="V13" s="65" t="s">
        <v>179</v>
      </c>
      <c r="W13" s="57"/>
    </row>
    <row r="14" spans="1:23" x14ac:dyDescent="0.3">
      <c r="A14" s="56">
        <v>45987</v>
      </c>
      <c r="B14" s="58" t="s">
        <v>184</v>
      </c>
      <c r="C14" s="58">
        <v>1505</v>
      </c>
      <c r="D14" s="58" t="s">
        <v>187</v>
      </c>
      <c r="E14" s="57">
        <v>303522140</v>
      </c>
      <c r="F14" s="58" t="s">
        <v>198</v>
      </c>
      <c r="G14" s="58" t="s">
        <v>198</v>
      </c>
      <c r="H14" s="57">
        <v>75</v>
      </c>
      <c r="I14" s="59">
        <v>156</v>
      </c>
      <c r="J14" s="58" t="s">
        <v>171</v>
      </c>
      <c r="K14" s="59"/>
      <c r="L14" s="59"/>
      <c r="M14" s="59"/>
      <c r="N14" s="59">
        <v>11700</v>
      </c>
      <c r="O14" s="57"/>
      <c r="P14" s="57"/>
      <c r="Q14" s="59"/>
      <c r="R14" s="57"/>
      <c r="S14" s="57"/>
      <c r="T14" s="57"/>
      <c r="U14" s="57"/>
      <c r="V14" s="65" t="s">
        <v>179</v>
      </c>
      <c r="W14" s="57"/>
    </row>
    <row r="15" spans="1:23" x14ac:dyDescent="0.3">
      <c r="A15" s="56">
        <v>45987</v>
      </c>
      <c r="B15" s="58" t="s">
        <v>184</v>
      </c>
      <c r="C15" s="58">
        <v>1505</v>
      </c>
      <c r="D15" s="58" t="s">
        <v>187</v>
      </c>
      <c r="E15" s="57">
        <v>303522140</v>
      </c>
      <c r="F15" s="58" t="s">
        <v>204</v>
      </c>
      <c r="G15" s="58" t="s">
        <v>204</v>
      </c>
      <c r="H15" s="57">
        <v>150</v>
      </c>
      <c r="I15" s="59">
        <v>167</v>
      </c>
      <c r="J15" s="58" t="s">
        <v>171</v>
      </c>
      <c r="K15" s="57"/>
      <c r="L15" s="57"/>
      <c r="M15" s="57"/>
      <c r="N15" s="59">
        <v>25050</v>
      </c>
      <c r="O15" s="57"/>
      <c r="P15" s="57"/>
      <c r="Q15" s="59"/>
      <c r="R15" s="59"/>
      <c r="S15" s="59"/>
      <c r="T15" s="59"/>
      <c r="U15" s="57"/>
      <c r="V15" s="65" t="s">
        <v>179</v>
      </c>
      <c r="W15" s="57"/>
    </row>
    <row r="16" spans="1:23" x14ac:dyDescent="0.3">
      <c r="A16" s="56">
        <v>45987</v>
      </c>
      <c r="B16" s="58" t="s">
        <v>184</v>
      </c>
      <c r="C16" s="58">
        <v>1505</v>
      </c>
      <c r="D16" s="58" t="s">
        <v>187</v>
      </c>
      <c r="E16" s="57">
        <v>303522140</v>
      </c>
      <c r="F16" s="58" t="s">
        <v>200</v>
      </c>
      <c r="G16" s="58" t="s">
        <v>200</v>
      </c>
      <c r="H16" s="57">
        <v>75</v>
      </c>
      <c r="I16" s="59">
        <v>101</v>
      </c>
      <c r="J16" s="58" t="s">
        <v>171</v>
      </c>
      <c r="K16" s="57"/>
      <c r="L16" s="57"/>
      <c r="M16" s="57"/>
      <c r="N16" s="59">
        <v>7575</v>
      </c>
      <c r="O16" s="57"/>
      <c r="P16" s="57"/>
      <c r="Q16" s="59"/>
      <c r="R16" s="59"/>
      <c r="S16" s="59"/>
      <c r="T16" s="59"/>
      <c r="U16" s="57"/>
      <c r="V16" s="65" t="s">
        <v>179</v>
      </c>
      <c r="W16" s="57"/>
    </row>
    <row r="17" spans="1:23" x14ac:dyDescent="0.3">
      <c r="A17" s="56">
        <v>45987</v>
      </c>
      <c r="B17" s="58" t="s">
        <v>184</v>
      </c>
      <c r="C17" s="58">
        <v>1505</v>
      </c>
      <c r="D17" s="58" t="s">
        <v>187</v>
      </c>
      <c r="E17" s="57">
        <v>303522140</v>
      </c>
      <c r="F17" s="58" t="s">
        <v>193</v>
      </c>
      <c r="G17" s="58" t="s">
        <v>193</v>
      </c>
      <c r="H17" s="57">
        <v>150</v>
      </c>
      <c r="I17" s="59">
        <v>101</v>
      </c>
      <c r="J17" s="58" t="s">
        <v>171</v>
      </c>
      <c r="K17" s="57"/>
      <c r="L17" s="57"/>
      <c r="M17" s="57"/>
      <c r="N17" s="59">
        <v>15150</v>
      </c>
      <c r="O17" s="57"/>
      <c r="P17" s="57"/>
      <c r="Q17" s="59"/>
      <c r="R17" s="59"/>
      <c r="S17" s="59"/>
      <c r="T17" s="59"/>
      <c r="U17" s="57"/>
      <c r="V17" s="65" t="s">
        <v>179</v>
      </c>
      <c r="W17" s="57"/>
    </row>
    <row r="18" spans="1:23" x14ac:dyDescent="0.3">
      <c r="A18" s="56">
        <v>45987</v>
      </c>
      <c r="B18" s="58" t="s">
        <v>184</v>
      </c>
      <c r="C18" s="58">
        <v>1505</v>
      </c>
      <c r="D18" s="58" t="s">
        <v>187</v>
      </c>
      <c r="E18" s="57">
        <v>303522140</v>
      </c>
      <c r="F18" s="58" t="s">
        <v>201</v>
      </c>
      <c r="G18" s="58" t="s">
        <v>201</v>
      </c>
      <c r="H18" s="57">
        <v>60</v>
      </c>
      <c r="I18" s="59">
        <v>113</v>
      </c>
      <c r="J18" s="58" t="s">
        <v>171</v>
      </c>
      <c r="K18" s="57"/>
      <c r="L18" s="57"/>
      <c r="M18" s="57"/>
      <c r="N18" s="59">
        <v>6780</v>
      </c>
      <c r="O18" s="57"/>
      <c r="P18" s="57"/>
      <c r="Q18" s="57"/>
      <c r="R18" s="57"/>
      <c r="S18" s="57"/>
      <c r="T18" s="57"/>
      <c r="U18" s="57"/>
      <c r="V18" s="65" t="s">
        <v>179</v>
      </c>
      <c r="W18" s="57"/>
    </row>
    <row r="19" spans="1:23" x14ac:dyDescent="0.3">
      <c r="A19" s="56">
        <v>45987</v>
      </c>
      <c r="B19" s="58" t="s">
        <v>184</v>
      </c>
      <c r="C19" s="58">
        <v>1505</v>
      </c>
      <c r="D19" s="58" t="s">
        <v>187</v>
      </c>
      <c r="E19" s="57">
        <v>303522140</v>
      </c>
      <c r="F19" s="58" t="s">
        <v>202</v>
      </c>
      <c r="G19" s="58" t="s">
        <v>202</v>
      </c>
      <c r="H19" s="57">
        <v>150</v>
      </c>
      <c r="I19" s="59">
        <v>113</v>
      </c>
      <c r="J19" s="58" t="s">
        <v>171</v>
      </c>
      <c r="K19" s="57"/>
      <c r="L19" s="57"/>
      <c r="M19" s="57"/>
      <c r="N19" s="59">
        <v>19725</v>
      </c>
      <c r="O19" s="57"/>
      <c r="P19" s="57"/>
      <c r="Q19" s="57"/>
      <c r="R19" s="57"/>
      <c r="S19" s="57"/>
      <c r="T19" s="57"/>
      <c r="U19" s="57"/>
      <c r="V19" s="65" t="s">
        <v>179</v>
      </c>
      <c r="W19" s="57"/>
    </row>
    <row r="20" spans="1:23" x14ac:dyDescent="0.3">
      <c r="A20" s="56">
        <v>45987</v>
      </c>
      <c r="B20" s="58" t="s">
        <v>184</v>
      </c>
      <c r="C20" s="58">
        <v>1505</v>
      </c>
      <c r="D20" s="58" t="s">
        <v>187</v>
      </c>
      <c r="E20" s="57">
        <v>303522140</v>
      </c>
      <c r="F20" s="58" t="s">
        <v>203</v>
      </c>
      <c r="G20" s="58" t="s">
        <v>203</v>
      </c>
      <c r="H20" s="57">
        <v>125</v>
      </c>
      <c r="I20" s="59">
        <v>131</v>
      </c>
      <c r="J20" s="58" t="s">
        <v>171</v>
      </c>
      <c r="K20" s="57"/>
      <c r="L20" s="57"/>
      <c r="M20" s="57"/>
      <c r="N20" s="59">
        <v>16375</v>
      </c>
      <c r="O20" s="57"/>
      <c r="P20" s="57"/>
      <c r="Q20" s="57"/>
      <c r="R20" s="57"/>
      <c r="S20" s="57"/>
      <c r="T20" s="57"/>
      <c r="U20" s="57"/>
      <c r="V20" s="65" t="s">
        <v>179</v>
      </c>
      <c r="W20" s="57"/>
    </row>
    <row r="21" spans="1:23" x14ac:dyDescent="0.3">
      <c r="A21" s="56">
        <v>45987</v>
      </c>
      <c r="B21" s="58" t="s">
        <v>184</v>
      </c>
      <c r="C21" s="58">
        <v>1505</v>
      </c>
      <c r="D21" s="58" t="s">
        <v>187</v>
      </c>
      <c r="E21" s="57">
        <v>303522140</v>
      </c>
      <c r="F21" s="58" t="s">
        <v>199</v>
      </c>
      <c r="G21" s="58" t="s">
        <v>199</v>
      </c>
      <c r="H21" s="57">
        <v>75</v>
      </c>
      <c r="I21" s="59">
        <v>156</v>
      </c>
      <c r="J21" s="58" t="s">
        <v>171</v>
      </c>
      <c r="K21" s="57"/>
      <c r="L21" s="57"/>
      <c r="M21" s="57"/>
      <c r="N21" s="59">
        <v>11700</v>
      </c>
      <c r="O21" s="57"/>
      <c r="P21" s="57"/>
      <c r="Q21" s="57"/>
      <c r="R21" s="57"/>
      <c r="S21" s="57"/>
      <c r="T21" s="57"/>
      <c r="U21" s="57"/>
      <c r="V21" s="65" t="s">
        <v>179</v>
      </c>
      <c r="W21" s="57"/>
    </row>
    <row r="22" spans="1:23" x14ac:dyDescent="0.3">
      <c r="A22" s="56">
        <v>46042</v>
      </c>
      <c r="B22" s="58" t="s">
        <v>186</v>
      </c>
      <c r="C22" s="58">
        <v>280</v>
      </c>
      <c r="D22" s="58" t="s">
        <v>176</v>
      </c>
      <c r="E22" s="57">
        <v>600723602</v>
      </c>
      <c r="F22" s="58" t="s">
        <v>178</v>
      </c>
      <c r="G22" s="58" t="s">
        <v>178</v>
      </c>
      <c r="H22" s="57">
        <v>3000</v>
      </c>
      <c r="I22" s="59">
        <v>108</v>
      </c>
      <c r="J22" s="58" t="s">
        <v>172</v>
      </c>
      <c r="K22" s="59">
        <v>324000</v>
      </c>
      <c r="L22" s="59">
        <v>42120</v>
      </c>
      <c r="M22" s="59">
        <v>366120</v>
      </c>
      <c r="N22" s="57"/>
      <c r="O22" s="57"/>
      <c r="P22" s="57"/>
      <c r="Q22" s="57"/>
      <c r="R22" s="57"/>
      <c r="S22" s="57"/>
      <c r="T22" s="57"/>
      <c r="U22" s="57"/>
      <c r="V22" s="65" t="s">
        <v>179</v>
      </c>
      <c r="W22" s="57"/>
    </row>
    <row r="23" spans="1:23" x14ac:dyDescent="0.3">
      <c r="A23" s="56">
        <v>46052</v>
      </c>
      <c r="B23" s="58" t="s">
        <v>186</v>
      </c>
      <c r="C23" s="58">
        <v>308</v>
      </c>
      <c r="D23" s="58" t="s">
        <v>176</v>
      </c>
      <c r="E23" s="57">
        <v>600723602</v>
      </c>
      <c r="F23" s="58" t="s">
        <v>178</v>
      </c>
      <c r="G23" s="58" t="s">
        <v>178</v>
      </c>
      <c r="H23" s="57">
        <v>3000</v>
      </c>
      <c r="I23" s="59">
        <v>110</v>
      </c>
      <c r="J23" s="58" t="s">
        <v>172</v>
      </c>
      <c r="K23" s="59">
        <v>330000</v>
      </c>
      <c r="L23" s="59">
        <v>42900</v>
      </c>
      <c r="M23" s="59">
        <v>372900</v>
      </c>
      <c r="N23" s="57"/>
      <c r="O23" s="57"/>
      <c r="P23" s="57"/>
      <c r="Q23" s="57"/>
      <c r="R23" s="57"/>
      <c r="S23" s="57"/>
      <c r="T23" s="57"/>
      <c r="U23" s="57"/>
      <c r="V23" s="65" t="s">
        <v>179</v>
      </c>
      <c r="W23" s="57"/>
    </row>
    <row r="24" spans="1:23" x14ac:dyDescent="0.3">
      <c r="A24" s="56">
        <v>45864</v>
      </c>
      <c r="B24" s="58" t="s">
        <v>180</v>
      </c>
      <c r="C24" s="58">
        <v>12</v>
      </c>
      <c r="D24" s="58" t="s">
        <v>181</v>
      </c>
      <c r="E24" s="57">
        <v>303588188</v>
      </c>
      <c r="F24" s="58" t="s">
        <v>178</v>
      </c>
      <c r="G24" s="58" t="s">
        <v>178</v>
      </c>
      <c r="H24" s="57">
        <v>3000</v>
      </c>
      <c r="I24" s="59">
        <v>115.9</v>
      </c>
      <c r="J24" s="58" t="s">
        <v>172</v>
      </c>
      <c r="K24" s="59">
        <v>347700</v>
      </c>
      <c r="L24" s="59">
        <v>45201</v>
      </c>
      <c r="M24" s="59">
        <v>392901</v>
      </c>
      <c r="N24" s="57"/>
      <c r="O24" s="57"/>
      <c r="P24" s="57"/>
      <c r="Q24" s="57"/>
      <c r="R24" s="57"/>
      <c r="S24" s="57"/>
      <c r="T24" s="57"/>
      <c r="U24" s="57"/>
      <c r="V24" s="65" t="s">
        <v>179</v>
      </c>
      <c r="W24" s="57"/>
    </row>
    <row r="25" spans="1:23" x14ac:dyDescent="0.3">
      <c r="A25" s="56">
        <v>46048</v>
      </c>
      <c r="B25" s="58" t="s">
        <v>186</v>
      </c>
      <c r="C25" s="58">
        <v>294</v>
      </c>
      <c r="D25" s="58" t="s">
        <v>176</v>
      </c>
      <c r="E25" s="57">
        <v>600723602</v>
      </c>
      <c r="F25" s="58" t="s">
        <v>178</v>
      </c>
      <c r="G25" s="58" t="s">
        <v>178</v>
      </c>
      <c r="H25" s="57">
        <v>3000</v>
      </c>
      <c r="I25" s="59">
        <v>116</v>
      </c>
      <c r="J25" s="58" t="s">
        <v>172</v>
      </c>
      <c r="K25" s="59">
        <v>348000</v>
      </c>
      <c r="L25" s="59">
        <v>45240</v>
      </c>
      <c r="M25" s="59">
        <v>393240</v>
      </c>
      <c r="N25" s="57"/>
      <c r="O25" s="57"/>
      <c r="P25" s="57"/>
      <c r="Q25" s="57"/>
      <c r="R25" s="57"/>
      <c r="S25" s="57"/>
      <c r="T25" s="57"/>
      <c r="U25" s="57"/>
      <c r="V25" s="65" t="s">
        <v>179</v>
      </c>
      <c r="W25" s="57"/>
    </row>
    <row r="26" spans="1:23" x14ac:dyDescent="0.3">
      <c r="A26" s="56">
        <v>46047</v>
      </c>
      <c r="B26" s="58" t="s">
        <v>205</v>
      </c>
      <c r="C26" s="58">
        <v>365</v>
      </c>
      <c r="D26" s="58" t="s">
        <v>176</v>
      </c>
      <c r="E26" s="57">
        <v>600723602</v>
      </c>
      <c r="F26" s="58" t="s">
        <v>178</v>
      </c>
      <c r="G26" s="58" t="s">
        <v>178</v>
      </c>
      <c r="H26" s="57">
        <v>750</v>
      </c>
      <c r="I26" s="59">
        <v>94</v>
      </c>
      <c r="J26" s="58" t="s">
        <v>172</v>
      </c>
      <c r="K26" s="59">
        <v>70500</v>
      </c>
      <c r="L26" s="59">
        <v>9165</v>
      </c>
      <c r="M26" s="59">
        <v>79665</v>
      </c>
      <c r="N26" s="57"/>
      <c r="O26" s="57"/>
      <c r="P26" s="57"/>
      <c r="Q26" s="57"/>
      <c r="R26" s="57"/>
      <c r="S26" s="57"/>
      <c r="T26" s="57"/>
      <c r="U26" s="57"/>
      <c r="V26" s="65" t="s">
        <v>179</v>
      </c>
      <c r="W26" s="57"/>
    </row>
    <row r="27" spans="1:23" x14ac:dyDescent="0.3">
      <c r="A27" s="56">
        <v>46043</v>
      </c>
      <c r="B27" s="58" t="s">
        <v>186</v>
      </c>
      <c r="C27" s="58">
        <v>300</v>
      </c>
      <c r="D27" s="58" t="s">
        <v>176</v>
      </c>
      <c r="E27" s="57">
        <v>600723602</v>
      </c>
      <c r="F27" s="58" t="s">
        <v>178</v>
      </c>
      <c r="G27" s="58" t="s">
        <v>178</v>
      </c>
      <c r="H27" s="57">
        <v>1000</v>
      </c>
      <c r="I27" s="59">
        <v>116</v>
      </c>
      <c r="J27" s="58" t="s">
        <v>172</v>
      </c>
      <c r="K27" s="59">
        <v>116000</v>
      </c>
      <c r="L27" s="59">
        <v>15080</v>
      </c>
      <c r="M27" s="59">
        <v>131080</v>
      </c>
      <c r="N27" s="57"/>
      <c r="O27" s="57"/>
      <c r="P27" s="57"/>
      <c r="Q27" s="57"/>
      <c r="R27" s="57"/>
      <c r="S27" s="57"/>
      <c r="T27" s="57"/>
      <c r="U27" s="57"/>
      <c r="V27" s="65" t="s">
        <v>179</v>
      </c>
      <c r="W27" s="57"/>
    </row>
    <row r="28" spans="1:23" x14ac:dyDescent="0.3">
      <c r="A28" s="56">
        <v>46063</v>
      </c>
      <c r="B28" s="58" t="s">
        <v>186</v>
      </c>
      <c r="C28" s="58">
        <v>328</v>
      </c>
      <c r="D28" s="58" t="s">
        <v>176</v>
      </c>
      <c r="E28" s="57">
        <v>600723602</v>
      </c>
      <c r="F28" s="58" t="s">
        <v>178</v>
      </c>
      <c r="G28" s="58" t="s">
        <v>178</v>
      </c>
      <c r="H28" s="57">
        <v>3000</v>
      </c>
      <c r="I28" s="59">
        <v>110</v>
      </c>
      <c r="J28" s="58" t="s">
        <v>172</v>
      </c>
      <c r="K28" s="59">
        <v>330000</v>
      </c>
      <c r="L28" s="59">
        <v>42900</v>
      </c>
      <c r="M28" s="59">
        <v>372900</v>
      </c>
      <c r="N28" s="57"/>
      <c r="O28" s="57"/>
      <c r="P28" s="57"/>
      <c r="Q28" s="57"/>
      <c r="R28" s="57"/>
      <c r="S28" s="57"/>
      <c r="T28" s="57"/>
      <c r="U28" s="57"/>
      <c r="V28" s="65" t="s">
        <v>179</v>
      </c>
      <c r="W28" s="57"/>
    </row>
    <row r="29" spans="1:23" x14ac:dyDescent="0.3">
      <c r="A29" s="56">
        <v>46072</v>
      </c>
      <c r="B29" s="58" t="s">
        <v>205</v>
      </c>
      <c r="C29" s="58">
        <v>354</v>
      </c>
      <c r="D29" s="58" t="s">
        <v>176</v>
      </c>
      <c r="E29" s="57">
        <v>600723602</v>
      </c>
      <c r="F29" s="58" t="s">
        <v>178</v>
      </c>
      <c r="G29" s="58" t="s">
        <v>178</v>
      </c>
      <c r="H29" s="57">
        <v>3000</v>
      </c>
      <c r="I29" s="59">
        <v>112</v>
      </c>
      <c r="J29" s="58" t="s">
        <v>172</v>
      </c>
      <c r="K29" s="59">
        <v>336000</v>
      </c>
      <c r="L29" s="59">
        <v>43680</v>
      </c>
      <c r="M29" s="59">
        <v>379680</v>
      </c>
      <c r="N29" s="57"/>
      <c r="O29" s="57"/>
      <c r="P29" s="57"/>
      <c r="Q29" s="57"/>
      <c r="R29" s="57"/>
      <c r="S29" s="57"/>
      <c r="T29" s="57"/>
      <c r="U29" s="57"/>
      <c r="V29" s="65" t="s">
        <v>179</v>
      </c>
      <c r="W29" s="57"/>
    </row>
    <row r="30" spans="1:23" x14ac:dyDescent="0.3">
      <c r="A30" s="56">
        <v>46038</v>
      </c>
      <c r="B30" s="58" t="s">
        <v>186</v>
      </c>
      <c r="C30" s="58">
        <v>348</v>
      </c>
      <c r="D30" s="58" t="s">
        <v>176</v>
      </c>
      <c r="E30" s="57">
        <v>600723602</v>
      </c>
      <c r="F30" s="58" t="s">
        <v>178</v>
      </c>
      <c r="G30" s="58" t="s">
        <v>178</v>
      </c>
      <c r="H30" s="57">
        <v>3000</v>
      </c>
      <c r="I30" s="59">
        <v>112</v>
      </c>
      <c r="J30" s="58" t="s">
        <v>172</v>
      </c>
      <c r="K30" s="59">
        <v>336000</v>
      </c>
      <c r="L30" s="59">
        <v>43680</v>
      </c>
      <c r="M30" s="59">
        <v>379680</v>
      </c>
      <c r="N30" s="57"/>
      <c r="O30" s="57"/>
      <c r="P30" s="57"/>
      <c r="Q30" s="57"/>
      <c r="R30" s="57"/>
      <c r="S30" s="57"/>
      <c r="T30" s="57"/>
      <c r="U30" s="57"/>
      <c r="V30" s="65" t="s">
        <v>179</v>
      </c>
      <c r="W30" s="57"/>
    </row>
    <row r="31" spans="1:23" x14ac:dyDescent="0.3">
      <c r="A31" s="56">
        <v>46036</v>
      </c>
      <c r="B31" s="58" t="s">
        <v>177</v>
      </c>
      <c r="C31" s="58">
        <v>263</v>
      </c>
      <c r="D31" s="58" t="s">
        <v>176</v>
      </c>
      <c r="E31" s="57">
        <v>600723602</v>
      </c>
      <c r="F31" s="58" t="s">
        <v>178</v>
      </c>
      <c r="G31" s="58" t="s">
        <v>178</v>
      </c>
      <c r="H31" s="57">
        <v>3000</v>
      </c>
      <c r="I31" s="59">
        <v>117</v>
      </c>
      <c r="J31" s="58" t="s">
        <v>172</v>
      </c>
      <c r="K31" s="59">
        <v>351000</v>
      </c>
      <c r="L31" s="59">
        <v>45630</v>
      </c>
      <c r="M31" s="59">
        <v>396630</v>
      </c>
      <c r="N31" s="57"/>
      <c r="O31" s="57"/>
      <c r="P31" s="57"/>
      <c r="Q31" s="57"/>
      <c r="R31" s="57"/>
      <c r="S31" s="57"/>
      <c r="T31" s="57"/>
      <c r="U31" s="57"/>
      <c r="V31" s="65" t="s">
        <v>179</v>
      </c>
      <c r="W31" s="57"/>
    </row>
    <row r="32" spans="1:23" x14ac:dyDescent="0.3">
      <c r="A32" s="56">
        <v>45992</v>
      </c>
      <c r="B32" s="58" t="s">
        <v>184</v>
      </c>
      <c r="C32" s="58">
        <v>182</v>
      </c>
      <c r="D32" s="58" t="s">
        <v>176</v>
      </c>
      <c r="E32" s="57">
        <v>600723602</v>
      </c>
      <c r="F32" s="58" t="s">
        <v>178</v>
      </c>
      <c r="G32" s="58" t="s">
        <v>178</v>
      </c>
      <c r="H32" s="57">
        <v>3000</v>
      </c>
      <c r="I32" s="59">
        <v>118.5</v>
      </c>
      <c r="J32" s="58" t="s">
        <v>172</v>
      </c>
      <c r="K32" s="59">
        <v>355500</v>
      </c>
      <c r="L32" s="59">
        <v>46215</v>
      </c>
      <c r="M32" s="59">
        <v>401715</v>
      </c>
      <c r="N32" s="57"/>
      <c r="O32" s="57"/>
      <c r="P32" s="57"/>
      <c r="Q32" s="57"/>
      <c r="R32" s="57"/>
      <c r="S32" s="57"/>
      <c r="T32" s="57"/>
      <c r="U32" s="57"/>
      <c r="V32" s="65" t="s">
        <v>179</v>
      </c>
      <c r="W32" s="57"/>
    </row>
    <row r="33" spans="1:23" x14ac:dyDescent="0.3">
      <c r="A33" s="56">
        <v>45991</v>
      </c>
      <c r="B33" s="58" t="s">
        <v>184</v>
      </c>
      <c r="C33" s="58">
        <v>181</v>
      </c>
      <c r="D33" s="58" t="s">
        <v>176</v>
      </c>
      <c r="E33" s="57">
        <v>600723602</v>
      </c>
      <c r="F33" s="58" t="s">
        <v>178</v>
      </c>
      <c r="G33" s="58" t="s">
        <v>178</v>
      </c>
      <c r="H33" s="57">
        <v>3000</v>
      </c>
      <c r="I33" s="59">
        <v>118.5</v>
      </c>
      <c r="J33" s="58" t="s">
        <v>172</v>
      </c>
      <c r="K33" s="59">
        <v>355500</v>
      </c>
      <c r="L33" s="59">
        <v>46215</v>
      </c>
      <c r="M33" s="59">
        <v>401715</v>
      </c>
      <c r="N33" s="57"/>
      <c r="O33" s="57"/>
      <c r="P33" s="57"/>
      <c r="Q33" s="57"/>
      <c r="R33" s="57"/>
      <c r="S33" s="57"/>
      <c r="T33" s="57"/>
      <c r="U33" s="57"/>
      <c r="V33" s="65" t="s">
        <v>179</v>
      </c>
      <c r="W33" s="57"/>
    </row>
    <row r="34" spans="1:23" x14ac:dyDescent="0.3">
      <c r="A34" s="56">
        <v>46041</v>
      </c>
      <c r="B34" s="58" t="s">
        <v>186</v>
      </c>
      <c r="C34" s="58">
        <v>275</v>
      </c>
      <c r="D34" s="58" t="s">
        <v>176</v>
      </c>
      <c r="E34" s="57">
        <v>600723602</v>
      </c>
      <c r="F34" s="58" t="s">
        <v>178</v>
      </c>
      <c r="G34" s="58" t="s">
        <v>178</v>
      </c>
      <c r="H34" s="57">
        <v>3000</v>
      </c>
      <c r="I34" s="59">
        <v>108</v>
      </c>
      <c r="J34" s="58" t="s">
        <v>172</v>
      </c>
      <c r="K34" s="59">
        <v>324000</v>
      </c>
      <c r="L34" s="59">
        <v>42120</v>
      </c>
      <c r="M34" s="59">
        <v>366120</v>
      </c>
      <c r="N34" s="57"/>
      <c r="O34" s="57"/>
      <c r="P34" s="57"/>
      <c r="Q34" s="57"/>
      <c r="R34" s="57"/>
      <c r="S34" s="57"/>
      <c r="T34" s="57"/>
      <c r="U34" s="57"/>
      <c r="V34" s="65" t="s">
        <v>179</v>
      </c>
      <c r="W34" s="57"/>
    </row>
    <row r="35" spans="1:23" x14ac:dyDescent="0.3">
      <c r="A35" s="56">
        <v>46001</v>
      </c>
      <c r="B35" s="58" t="s">
        <v>184</v>
      </c>
      <c r="C35" s="58">
        <v>202</v>
      </c>
      <c r="D35" s="58" t="s">
        <v>176</v>
      </c>
      <c r="E35" s="57">
        <v>600723602</v>
      </c>
      <c r="F35" s="58" t="s">
        <v>182</v>
      </c>
      <c r="G35" s="58" t="s">
        <v>182</v>
      </c>
      <c r="H35" s="57">
        <v>330</v>
      </c>
      <c r="I35" s="59">
        <v>105</v>
      </c>
      <c r="J35" s="58" t="s">
        <v>171</v>
      </c>
      <c r="K35" s="57"/>
      <c r="L35" s="57"/>
      <c r="M35" s="57"/>
      <c r="N35" s="59">
        <v>34650</v>
      </c>
      <c r="O35" s="57"/>
      <c r="P35" s="57"/>
      <c r="Q35" s="57"/>
      <c r="R35" s="57"/>
      <c r="S35" s="57"/>
      <c r="T35" s="57"/>
      <c r="U35" s="57"/>
      <c r="V35" s="65" t="s">
        <v>179</v>
      </c>
      <c r="W35" s="57"/>
    </row>
    <row r="36" spans="1:23" x14ac:dyDescent="0.3">
      <c r="A36" s="56">
        <v>45966</v>
      </c>
      <c r="B36" s="58" t="s">
        <v>206</v>
      </c>
      <c r="C36" s="58">
        <v>152</v>
      </c>
      <c r="D36" s="58" t="s">
        <v>176</v>
      </c>
      <c r="E36" s="57">
        <v>600723602</v>
      </c>
      <c r="F36" s="58" t="s">
        <v>178</v>
      </c>
      <c r="G36" s="58" t="s">
        <v>178</v>
      </c>
      <c r="H36" s="57">
        <v>3000</v>
      </c>
      <c r="I36" s="59">
        <v>119</v>
      </c>
      <c r="J36" s="58" t="s">
        <v>172</v>
      </c>
      <c r="K36" s="59">
        <v>357000</v>
      </c>
      <c r="L36" s="59">
        <v>46410</v>
      </c>
      <c r="M36" s="59">
        <v>403410</v>
      </c>
      <c r="N36" s="57"/>
      <c r="O36" s="57"/>
      <c r="P36" s="57"/>
      <c r="Q36" s="57"/>
      <c r="R36" s="57"/>
      <c r="S36" s="57"/>
      <c r="T36" s="57"/>
      <c r="U36" s="57"/>
      <c r="V36" s="65" t="s">
        <v>179</v>
      </c>
      <c r="W36" s="57"/>
    </row>
    <row r="37" spans="1:23" x14ac:dyDescent="0.3">
      <c r="A37" s="56">
        <v>45943</v>
      </c>
      <c r="B37" s="58" t="s">
        <v>183</v>
      </c>
      <c r="C37" s="58">
        <v>115</v>
      </c>
      <c r="D37" s="58" t="s">
        <v>176</v>
      </c>
      <c r="E37" s="57">
        <v>600723602</v>
      </c>
      <c r="F37" s="58" t="s">
        <v>178</v>
      </c>
      <c r="G37" s="58" t="s">
        <v>178</v>
      </c>
      <c r="H37" s="57">
        <v>3000</v>
      </c>
      <c r="I37" s="59">
        <v>118</v>
      </c>
      <c r="J37" s="58" t="s">
        <v>172</v>
      </c>
      <c r="K37" s="59">
        <v>354000</v>
      </c>
      <c r="L37" s="59">
        <v>46020</v>
      </c>
      <c r="M37" s="59">
        <v>400020</v>
      </c>
      <c r="N37" s="57"/>
      <c r="O37" s="57"/>
      <c r="P37" s="57"/>
      <c r="Q37" s="57"/>
      <c r="R37" s="57"/>
      <c r="S37" s="57"/>
      <c r="T37" s="57"/>
      <c r="U37" s="57"/>
      <c r="V37" s="65" t="s">
        <v>179</v>
      </c>
      <c r="W37" s="57"/>
    </row>
    <row r="38" spans="1:23" x14ac:dyDescent="0.3">
      <c r="A38" s="56">
        <v>45870</v>
      </c>
      <c r="B38" s="58" t="s">
        <v>180</v>
      </c>
      <c r="C38" s="58">
        <v>27</v>
      </c>
      <c r="D38" s="58" t="s">
        <v>176</v>
      </c>
      <c r="E38" s="57">
        <v>600723602</v>
      </c>
      <c r="F38" s="58" t="s">
        <v>178</v>
      </c>
      <c r="G38" s="58" t="s">
        <v>178</v>
      </c>
      <c r="H38" s="57">
        <v>3000</v>
      </c>
      <c r="I38" s="59">
        <v>105</v>
      </c>
      <c r="J38" s="58" t="s">
        <v>172</v>
      </c>
      <c r="K38" s="59">
        <v>315000</v>
      </c>
      <c r="L38" s="59">
        <v>40950</v>
      </c>
      <c r="M38" s="59">
        <v>355950</v>
      </c>
      <c r="N38" s="57"/>
      <c r="O38" s="57"/>
      <c r="P38" s="57"/>
      <c r="Q38" s="57"/>
      <c r="R38" s="57"/>
      <c r="S38" s="57"/>
      <c r="T38" s="57"/>
      <c r="U38" s="57"/>
      <c r="V38" s="65" t="s">
        <v>179</v>
      </c>
      <c r="W38" s="57"/>
    </row>
    <row r="39" spans="1:23" x14ac:dyDescent="0.3">
      <c r="A39" s="56">
        <v>45962</v>
      </c>
      <c r="B39" s="58" t="s">
        <v>206</v>
      </c>
      <c r="C39" s="58">
        <v>150</v>
      </c>
      <c r="D39" s="58" t="s">
        <v>176</v>
      </c>
      <c r="E39" s="57">
        <v>600723602</v>
      </c>
      <c r="F39" s="58" t="s">
        <v>178</v>
      </c>
      <c r="G39" s="58" t="s">
        <v>178</v>
      </c>
      <c r="H39" s="57">
        <v>3000</v>
      </c>
      <c r="I39" s="59">
        <v>119</v>
      </c>
      <c r="J39" s="58" t="s">
        <v>172</v>
      </c>
      <c r="K39" s="59">
        <v>357000</v>
      </c>
      <c r="L39" s="59">
        <v>46410</v>
      </c>
      <c r="M39" s="59">
        <v>403410</v>
      </c>
      <c r="N39" s="57"/>
      <c r="O39" s="57"/>
      <c r="P39" s="57"/>
      <c r="Q39" s="57"/>
      <c r="R39" s="57"/>
      <c r="S39" s="57"/>
      <c r="T39" s="57"/>
      <c r="U39" s="57"/>
      <c r="V39" s="65" t="s">
        <v>179</v>
      </c>
      <c r="W39" s="57"/>
    </row>
    <row r="40" spans="1:23" x14ac:dyDescent="0.3">
      <c r="A40" s="56">
        <v>45965</v>
      </c>
      <c r="B40" s="58" t="s">
        <v>206</v>
      </c>
      <c r="C40" s="58">
        <v>147</v>
      </c>
      <c r="D40" s="58" t="s">
        <v>176</v>
      </c>
      <c r="E40" s="57">
        <v>600723602</v>
      </c>
      <c r="F40" s="58" t="s">
        <v>178</v>
      </c>
      <c r="G40" s="58" t="s">
        <v>178</v>
      </c>
      <c r="H40" s="57">
        <v>3000</v>
      </c>
      <c r="I40" s="59">
        <v>95</v>
      </c>
      <c r="J40" s="58" t="s">
        <v>172</v>
      </c>
      <c r="K40" s="59">
        <v>285000</v>
      </c>
      <c r="L40" s="59">
        <v>37050</v>
      </c>
      <c r="M40" s="59">
        <v>322050</v>
      </c>
      <c r="N40" s="57"/>
      <c r="O40" s="57"/>
      <c r="P40" s="57"/>
      <c r="Q40" s="57"/>
      <c r="R40" s="57"/>
      <c r="S40" s="57"/>
      <c r="T40" s="57"/>
      <c r="U40" s="57"/>
      <c r="V40" s="65" t="s">
        <v>179</v>
      </c>
      <c r="W40" s="57"/>
    </row>
    <row r="41" spans="1:23" x14ac:dyDescent="0.3">
      <c r="A41" s="56">
        <v>45941</v>
      </c>
      <c r="B41" s="58" t="s">
        <v>183</v>
      </c>
      <c r="C41" s="58">
        <v>258</v>
      </c>
      <c r="D41" s="58" t="s">
        <v>207</v>
      </c>
      <c r="E41" s="57">
        <v>615707857</v>
      </c>
      <c r="F41" s="58" t="s">
        <v>211</v>
      </c>
      <c r="G41" s="58" t="s">
        <v>211</v>
      </c>
      <c r="H41" s="57">
        <v>20</v>
      </c>
      <c r="I41" s="59">
        <v>1300</v>
      </c>
      <c r="J41" s="58" t="s">
        <v>172</v>
      </c>
      <c r="K41" s="59">
        <v>26000</v>
      </c>
      <c r="L41" s="59">
        <v>3380</v>
      </c>
      <c r="M41" s="59">
        <v>29380</v>
      </c>
      <c r="N41" s="57"/>
      <c r="O41" s="57"/>
      <c r="P41" s="57"/>
      <c r="Q41" s="57"/>
      <c r="R41" s="57"/>
      <c r="S41" s="57"/>
      <c r="T41" s="57"/>
      <c r="U41" s="57"/>
      <c r="V41" s="65" t="s">
        <v>179</v>
      </c>
      <c r="W41" s="57"/>
    </row>
    <row r="42" spans="1:23" x14ac:dyDescent="0.3">
      <c r="A42" s="56">
        <v>45941</v>
      </c>
      <c r="B42" s="58" t="s">
        <v>183</v>
      </c>
      <c r="C42" s="58">
        <v>258</v>
      </c>
      <c r="D42" s="58" t="s">
        <v>207</v>
      </c>
      <c r="E42" s="57">
        <v>615707857</v>
      </c>
      <c r="F42" s="58" t="s">
        <v>210</v>
      </c>
      <c r="G42" s="58" t="s">
        <v>210</v>
      </c>
      <c r="H42" s="57">
        <v>70</v>
      </c>
      <c r="I42" s="59">
        <v>477</v>
      </c>
      <c r="J42" s="58" t="s">
        <v>172</v>
      </c>
      <c r="K42" s="59">
        <v>33390</v>
      </c>
      <c r="L42" s="59">
        <v>4340.7</v>
      </c>
      <c r="M42" s="59">
        <v>37730.699999999997</v>
      </c>
      <c r="N42" s="57"/>
      <c r="O42" s="57"/>
      <c r="P42" s="57"/>
      <c r="Q42" s="57"/>
      <c r="R42" s="57"/>
      <c r="S42" s="57"/>
      <c r="T42" s="57"/>
      <c r="U42" s="57"/>
      <c r="V42" s="65" t="s">
        <v>179</v>
      </c>
      <c r="W42" s="57"/>
    </row>
    <row r="43" spans="1:23" x14ac:dyDescent="0.3">
      <c r="A43" s="56">
        <v>45941</v>
      </c>
      <c r="B43" s="58" t="s">
        <v>183</v>
      </c>
      <c r="C43" s="58">
        <v>258</v>
      </c>
      <c r="D43" s="58" t="s">
        <v>207</v>
      </c>
      <c r="E43" s="57">
        <v>615707857</v>
      </c>
      <c r="F43" s="58" t="s">
        <v>209</v>
      </c>
      <c r="G43" s="58" t="s">
        <v>209</v>
      </c>
      <c r="H43" s="57">
        <v>25</v>
      </c>
      <c r="I43" s="59">
        <v>1050</v>
      </c>
      <c r="J43" s="58" t="s">
        <v>172</v>
      </c>
      <c r="K43" s="59">
        <v>26250</v>
      </c>
      <c r="L43" s="59">
        <v>3412.5</v>
      </c>
      <c r="M43" s="59">
        <v>29662.5</v>
      </c>
      <c r="N43" s="57"/>
      <c r="O43" s="57"/>
      <c r="P43" s="57"/>
      <c r="Q43" s="57"/>
      <c r="R43" s="57"/>
      <c r="S43" s="57"/>
      <c r="T43" s="57"/>
      <c r="U43" s="57"/>
      <c r="V43" s="65" t="s">
        <v>179</v>
      </c>
      <c r="W43" s="57"/>
    </row>
    <row r="44" spans="1:23" x14ac:dyDescent="0.3">
      <c r="A44" s="56">
        <v>46003</v>
      </c>
      <c r="B44" s="58" t="s">
        <v>184</v>
      </c>
      <c r="C44" s="58">
        <v>209</v>
      </c>
      <c r="D44" s="58" t="s">
        <v>176</v>
      </c>
      <c r="E44" s="57">
        <v>600723602</v>
      </c>
      <c r="F44" s="58" t="s">
        <v>178</v>
      </c>
      <c r="G44" s="58" t="s">
        <v>178</v>
      </c>
      <c r="H44" s="57">
        <v>3000</v>
      </c>
      <c r="I44" s="59">
        <v>118.5</v>
      </c>
      <c r="J44" s="58" t="s">
        <v>172</v>
      </c>
      <c r="K44" s="59">
        <v>355500</v>
      </c>
      <c r="L44" s="59">
        <v>46215</v>
      </c>
      <c r="M44" s="59">
        <v>401715</v>
      </c>
      <c r="N44" s="57"/>
      <c r="O44" s="57"/>
      <c r="P44" s="57"/>
      <c r="Q44" s="57"/>
      <c r="R44" s="57"/>
      <c r="S44" s="57"/>
      <c r="T44" s="57"/>
      <c r="U44" s="57"/>
      <c r="V44" s="65" t="s">
        <v>179</v>
      </c>
      <c r="W44" s="57"/>
    </row>
    <row r="45" spans="1:23" x14ac:dyDescent="0.3">
      <c r="A45" s="56">
        <v>46101</v>
      </c>
      <c r="B45" s="58" t="s">
        <v>227</v>
      </c>
      <c r="C45" s="58" t="s">
        <v>228</v>
      </c>
      <c r="D45" s="58" t="s">
        <v>225</v>
      </c>
      <c r="E45" s="57" t="s">
        <v>226</v>
      </c>
      <c r="F45" s="58" t="s">
        <v>212</v>
      </c>
      <c r="G45" s="58" t="s">
        <v>212</v>
      </c>
      <c r="H45" s="57">
        <v>80</v>
      </c>
      <c r="I45" s="59">
        <v>200</v>
      </c>
      <c r="J45" s="58" t="s">
        <v>171</v>
      </c>
      <c r="K45" s="57"/>
      <c r="L45" s="57"/>
      <c r="M45" s="57"/>
      <c r="N45" s="59">
        <v>16000</v>
      </c>
      <c r="O45" s="57"/>
      <c r="P45" s="57"/>
      <c r="Q45" s="57"/>
      <c r="R45" s="57"/>
      <c r="S45" s="57"/>
      <c r="T45" s="57"/>
      <c r="U45" s="57"/>
      <c r="V45" s="65" t="s">
        <v>179</v>
      </c>
      <c r="W45" s="57"/>
    </row>
    <row r="46" spans="1:23" x14ac:dyDescent="0.3">
      <c r="A46" s="56">
        <v>46101</v>
      </c>
      <c r="B46" s="58" t="s">
        <v>227</v>
      </c>
      <c r="C46" s="58" t="s">
        <v>228</v>
      </c>
      <c r="D46" s="58" t="s">
        <v>225</v>
      </c>
      <c r="E46" s="57" t="s">
        <v>226</v>
      </c>
      <c r="F46" s="58" t="s">
        <v>213</v>
      </c>
      <c r="G46" s="58" t="s">
        <v>213</v>
      </c>
      <c r="H46" s="57">
        <v>5</v>
      </c>
      <c r="I46" s="59">
        <v>260</v>
      </c>
      <c r="J46" s="58" t="s">
        <v>171</v>
      </c>
      <c r="K46" s="57"/>
      <c r="L46" s="57"/>
      <c r="M46" s="57"/>
      <c r="N46" s="59">
        <v>1300</v>
      </c>
      <c r="O46" s="57"/>
      <c r="P46" s="57"/>
      <c r="Q46" s="57"/>
      <c r="R46" s="57"/>
      <c r="S46" s="57"/>
      <c r="T46" s="57"/>
      <c r="U46" s="57"/>
      <c r="V46" s="65" t="s">
        <v>179</v>
      </c>
      <c r="W46" s="57"/>
    </row>
    <row r="47" spans="1:23" x14ac:dyDescent="0.3">
      <c r="A47" s="56">
        <v>46101</v>
      </c>
      <c r="B47" s="58" t="s">
        <v>227</v>
      </c>
      <c r="C47" s="58" t="s">
        <v>228</v>
      </c>
      <c r="D47" s="58" t="s">
        <v>225</v>
      </c>
      <c r="E47" s="57" t="s">
        <v>226</v>
      </c>
      <c r="F47" s="58" t="s">
        <v>210</v>
      </c>
      <c r="G47" s="58" t="s">
        <v>210</v>
      </c>
      <c r="H47" s="57">
        <v>50</v>
      </c>
      <c r="I47" s="59">
        <v>420</v>
      </c>
      <c r="J47" s="58" t="s">
        <v>171</v>
      </c>
      <c r="K47" s="57"/>
      <c r="L47" s="57"/>
      <c r="M47" s="57"/>
      <c r="N47" s="59">
        <v>21000</v>
      </c>
      <c r="O47" s="57"/>
      <c r="P47" s="57"/>
      <c r="Q47" s="57"/>
      <c r="R47" s="57"/>
      <c r="S47" s="57"/>
      <c r="T47" s="57"/>
      <c r="U47" s="57"/>
      <c r="V47" s="65" t="s">
        <v>179</v>
      </c>
      <c r="W47" s="57"/>
    </row>
    <row r="48" spans="1:23" x14ac:dyDescent="0.3">
      <c r="A48" s="56">
        <v>46101</v>
      </c>
      <c r="B48" s="58" t="s">
        <v>227</v>
      </c>
      <c r="C48" s="58" t="s">
        <v>228</v>
      </c>
      <c r="D48" s="58" t="s">
        <v>225</v>
      </c>
      <c r="E48" s="57" t="s">
        <v>226</v>
      </c>
      <c r="F48" s="58" t="s">
        <v>214</v>
      </c>
      <c r="G48" s="58" t="s">
        <v>214</v>
      </c>
      <c r="H48" s="57">
        <v>12.5</v>
      </c>
      <c r="I48" s="59">
        <v>800</v>
      </c>
      <c r="J48" s="58" t="s">
        <v>171</v>
      </c>
      <c r="K48" s="57"/>
      <c r="L48" s="57"/>
      <c r="M48" s="57"/>
      <c r="N48" s="59">
        <v>10000</v>
      </c>
      <c r="O48" s="57"/>
      <c r="P48" s="57"/>
      <c r="Q48" s="57"/>
      <c r="R48" s="57"/>
      <c r="S48" s="57"/>
      <c r="T48" s="57"/>
      <c r="U48" s="57"/>
      <c r="V48" s="65" t="s">
        <v>179</v>
      </c>
      <c r="W48" s="57"/>
    </row>
    <row r="49" spans="1:23" x14ac:dyDescent="0.3">
      <c r="A49" s="56">
        <v>46101</v>
      </c>
      <c r="B49" s="58" t="s">
        <v>227</v>
      </c>
      <c r="C49" s="58" t="s">
        <v>228</v>
      </c>
      <c r="D49" s="58" t="s">
        <v>225</v>
      </c>
      <c r="E49" s="57" t="s">
        <v>226</v>
      </c>
      <c r="F49" s="58" t="s">
        <v>215</v>
      </c>
      <c r="G49" s="58" t="s">
        <v>215</v>
      </c>
      <c r="H49" s="57">
        <v>12.5</v>
      </c>
      <c r="I49" s="59">
        <v>375</v>
      </c>
      <c r="J49" s="58" t="s">
        <v>171</v>
      </c>
      <c r="K49" s="57"/>
      <c r="L49" s="57"/>
      <c r="M49" s="57"/>
      <c r="N49" s="59">
        <v>4687.5</v>
      </c>
      <c r="O49" s="57"/>
      <c r="P49" s="57"/>
      <c r="Q49" s="57"/>
      <c r="R49" s="57"/>
      <c r="S49" s="57"/>
      <c r="T49" s="57"/>
      <c r="U49" s="57"/>
      <c r="V49" s="65" t="s">
        <v>179</v>
      </c>
      <c r="W49" s="57"/>
    </row>
    <row r="50" spans="1:23" x14ac:dyDescent="0.3">
      <c r="A50" s="56">
        <v>46101</v>
      </c>
      <c r="B50" s="58" t="s">
        <v>227</v>
      </c>
      <c r="C50" s="58" t="s">
        <v>228</v>
      </c>
      <c r="D50" s="58" t="s">
        <v>225</v>
      </c>
      <c r="E50" s="57" t="s">
        <v>226</v>
      </c>
      <c r="F50" s="58" t="s">
        <v>216</v>
      </c>
      <c r="G50" s="58" t="s">
        <v>216</v>
      </c>
      <c r="H50" s="57">
        <f>3*12.5</f>
        <v>37.5</v>
      </c>
      <c r="I50" s="59">
        <f>1750/12.5</f>
        <v>140</v>
      </c>
      <c r="J50" s="58" t="s">
        <v>171</v>
      </c>
      <c r="K50" s="57"/>
      <c r="L50" s="57"/>
      <c r="M50" s="57"/>
      <c r="N50" s="59">
        <v>5250</v>
      </c>
      <c r="O50" s="57"/>
      <c r="P50" s="57"/>
      <c r="Q50" s="57"/>
      <c r="R50" s="57"/>
      <c r="S50" s="57"/>
      <c r="T50" s="57"/>
      <c r="U50" s="57"/>
      <c r="V50" s="65" t="s">
        <v>179</v>
      </c>
      <c r="W50" s="57"/>
    </row>
    <row r="51" spans="1:23" x14ac:dyDescent="0.3">
      <c r="A51" s="56">
        <v>46101</v>
      </c>
      <c r="B51" s="58" t="s">
        <v>227</v>
      </c>
      <c r="C51" s="58" t="s">
        <v>228</v>
      </c>
      <c r="D51" s="58" t="s">
        <v>225</v>
      </c>
      <c r="E51" s="57" t="s">
        <v>226</v>
      </c>
      <c r="F51" s="58" t="s">
        <v>211</v>
      </c>
      <c r="G51" s="58" t="s">
        <v>211</v>
      </c>
      <c r="H51" s="57">
        <v>20</v>
      </c>
      <c r="I51" s="59">
        <v>1600</v>
      </c>
      <c r="J51" s="58" t="s">
        <v>171</v>
      </c>
      <c r="K51" s="57"/>
      <c r="L51" s="57"/>
      <c r="M51" s="57"/>
      <c r="N51" s="59">
        <v>32000</v>
      </c>
      <c r="O51" s="57"/>
      <c r="P51" s="57"/>
      <c r="Q51" s="57"/>
      <c r="R51" s="57"/>
      <c r="S51" s="57"/>
      <c r="T51" s="57"/>
      <c r="U51" s="57"/>
      <c r="V51" s="65" t="s">
        <v>179</v>
      </c>
      <c r="W51" s="57"/>
    </row>
    <row r="52" spans="1:23" x14ac:dyDescent="0.3">
      <c r="A52" s="56">
        <v>46101</v>
      </c>
      <c r="B52" s="58" t="s">
        <v>227</v>
      </c>
      <c r="C52" s="58" t="s">
        <v>228</v>
      </c>
      <c r="D52" s="58" t="s">
        <v>225</v>
      </c>
      <c r="E52" s="57" t="s">
        <v>226</v>
      </c>
      <c r="F52" s="58" t="s">
        <v>217</v>
      </c>
      <c r="G52" s="58" t="s">
        <v>217</v>
      </c>
      <c r="H52" s="57">
        <v>10</v>
      </c>
      <c r="I52" s="59">
        <v>1420</v>
      </c>
      <c r="J52" s="58" t="s">
        <v>171</v>
      </c>
      <c r="K52" s="57"/>
      <c r="L52" s="57"/>
      <c r="M52" s="57"/>
      <c r="N52" s="59">
        <v>14200</v>
      </c>
      <c r="O52" s="57"/>
      <c r="P52" s="57"/>
      <c r="Q52" s="57"/>
      <c r="R52" s="57"/>
      <c r="S52" s="57"/>
      <c r="T52" s="57"/>
      <c r="U52" s="57"/>
      <c r="V52" s="65" t="s">
        <v>179</v>
      </c>
      <c r="W52" s="57"/>
    </row>
    <row r="53" spans="1:23" x14ac:dyDescent="0.3">
      <c r="A53" s="56">
        <v>46101</v>
      </c>
      <c r="B53" s="58" t="s">
        <v>227</v>
      </c>
      <c r="C53" s="58" t="s">
        <v>228</v>
      </c>
      <c r="D53" s="58" t="s">
        <v>225</v>
      </c>
      <c r="E53" s="57" t="s">
        <v>226</v>
      </c>
      <c r="F53" s="58" t="s">
        <v>218</v>
      </c>
      <c r="G53" s="58" t="s">
        <v>218</v>
      </c>
      <c r="H53" s="57">
        <v>20</v>
      </c>
      <c r="I53" s="59">
        <v>540</v>
      </c>
      <c r="J53" s="58" t="s">
        <v>171</v>
      </c>
      <c r="K53" s="57"/>
      <c r="L53" s="57"/>
      <c r="M53" s="57"/>
      <c r="N53" s="59">
        <v>10800</v>
      </c>
      <c r="O53" s="57"/>
      <c r="P53" s="57"/>
      <c r="Q53" s="57"/>
      <c r="R53" s="57"/>
      <c r="S53" s="57"/>
      <c r="T53" s="57"/>
      <c r="U53" s="57"/>
      <c r="V53" s="65" t="s">
        <v>179</v>
      </c>
      <c r="W53" s="57"/>
    </row>
    <row r="54" spans="1:23" x14ac:dyDescent="0.3">
      <c r="A54" s="56">
        <v>46101</v>
      </c>
      <c r="B54" s="58" t="s">
        <v>227</v>
      </c>
      <c r="C54" s="58" t="s">
        <v>228</v>
      </c>
      <c r="D54" s="58" t="s">
        <v>225</v>
      </c>
      <c r="E54" s="57" t="s">
        <v>226</v>
      </c>
      <c r="F54" s="58" t="s">
        <v>219</v>
      </c>
      <c r="G54" s="58" t="s">
        <v>219</v>
      </c>
      <c r="H54" s="57">
        <v>10</v>
      </c>
      <c r="I54" s="59">
        <v>290</v>
      </c>
      <c r="J54" s="58" t="s">
        <v>171</v>
      </c>
      <c r="K54" s="57"/>
      <c r="L54" s="57"/>
      <c r="M54" s="57"/>
      <c r="N54" s="59">
        <v>2900</v>
      </c>
      <c r="O54" s="57"/>
      <c r="P54" s="57"/>
      <c r="Q54" s="57"/>
      <c r="R54" s="57"/>
      <c r="S54" s="57"/>
      <c r="T54" s="57"/>
      <c r="U54" s="57"/>
      <c r="V54" s="65" t="s">
        <v>179</v>
      </c>
      <c r="W54" s="57"/>
    </row>
    <row r="55" spans="1:23" x14ac:dyDescent="0.3">
      <c r="A55" s="56">
        <v>46101</v>
      </c>
      <c r="B55" s="58" t="s">
        <v>227</v>
      </c>
      <c r="C55" s="58" t="s">
        <v>228</v>
      </c>
      <c r="D55" s="58" t="s">
        <v>225</v>
      </c>
      <c r="E55" s="57" t="s">
        <v>226</v>
      </c>
      <c r="F55" s="58" t="s">
        <v>220</v>
      </c>
      <c r="G55" s="58" t="s">
        <v>220</v>
      </c>
      <c r="H55" s="57">
        <v>5</v>
      </c>
      <c r="I55" s="59">
        <v>4980</v>
      </c>
      <c r="J55" s="58" t="s">
        <v>171</v>
      </c>
      <c r="K55" s="57"/>
      <c r="L55" s="57"/>
      <c r="M55" s="57"/>
      <c r="N55" s="59">
        <v>24900</v>
      </c>
      <c r="O55" s="57"/>
      <c r="P55" s="57"/>
      <c r="Q55" s="57"/>
      <c r="R55" s="57"/>
      <c r="S55" s="57"/>
      <c r="T55" s="57"/>
      <c r="U55" s="57"/>
      <c r="V55" s="65" t="s">
        <v>179</v>
      </c>
      <c r="W55" s="57"/>
    </row>
    <row r="56" spans="1:23" x14ac:dyDescent="0.3">
      <c r="A56" s="56">
        <v>46101</v>
      </c>
      <c r="B56" s="58" t="s">
        <v>227</v>
      </c>
      <c r="C56" s="58" t="s">
        <v>228</v>
      </c>
      <c r="D56" s="58" t="s">
        <v>225</v>
      </c>
      <c r="E56" s="57" t="s">
        <v>226</v>
      </c>
      <c r="F56" s="58" t="s">
        <v>221</v>
      </c>
      <c r="G56" s="58" t="s">
        <v>221</v>
      </c>
      <c r="H56" s="57">
        <v>30</v>
      </c>
      <c r="I56" s="59">
        <v>650</v>
      </c>
      <c r="J56" s="58" t="s">
        <v>171</v>
      </c>
      <c r="K56" s="57"/>
      <c r="L56" s="57"/>
      <c r="M56" s="57"/>
      <c r="N56" s="59">
        <v>19500</v>
      </c>
      <c r="O56" s="57"/>
      <c r="P56" s="57"/>
      <c r="Q56" s="57"/>
      <c r="R56" s="57"/>
      <c r="S56" s="57"/>
      <c r="T56" s="57"/>
      <c r="U56" s="57"/>
      <c r="V56" s="65" t="s">
        <v>179</v>
      </c>
      <c r="W56" s="57"/>
    </row>
    <row r="57" spans="1:23" x14ac:dyDescent="0.3">
      <c r="A57" s="56">
        <v>46101</v>
      </c>
      <c r="B57" s="58" t="s">
        <v>227</v>
      </c>
      <c r="C57" s="58" t="s">
        <v>228</v>
      </c>
      <c r="D57" s="58" t="s">
        <v>225</v>
      </c>
      <c r="E57" s="57" t="s">
        <v>226</v>
      </c>
      <c r="F57" s="58" t="s">
        <v>222</v>
      </c>
      <c r="G57" s="58" t="s">
        <v>222</v>
      </c>
      <c r="H57" s="57">
        <v>49.8</v>
      </c>
      <c r="I57" s="59">
        <v>210</v>
      </c>
      <c r="J57" s="58" t="s">
        <v>171</v>
      </c>
      <c r="K57" s="57"/>
      <c r="L57" s="57"/>
      <c r="M57" s="57"/>
      <c r="N57" s="59">
        <v>10458</v>
      </c>
      <c r="O57" s="57"/>
      <c r="P57" s="57"/>
      <c r="Q57" s="57"/>
      <c r="R57" s="57"/>
      <c r="S57" s="57"/>
      <c r="T57" s="57"/>
      <c r="U57" s="57"/>
      <c r="V57" s="65" t="s">
        <v>179</v>
      </c>
      <c r="W57" s="57"/>
    </row>
    <row r="58" spans="1:23" x14ac:dyDescent="0.3">
      <c r="A58" s="56">
        <v>46101</v>
      </c>
      <c r="B58" s="58" t="s">
        <v>227</v>
      </c>
      <c r="C58" s="58" t="s">
        <v>228</v>
      </c>
      <c r="D58" s="58" t="s">
        <v>225</v>
      </c>
      <c r="E58" s="57" t="s">
        <v>226</v>
      </c>
      <c r="F58" s="58" t="s">
        <v>223</v>
      </c>
      <c r="G58" s="58" t="s">
        <v>223</v>
      </c>
      <c r="H58" s="57">
        <v>5</v>
      </c>
      <c r="I58" s="59">
        <v>780</v>
      </c>
      <c r="J58" s="58" t="s">
        <v>171</v>
      </c>
      <c r="K58" s="57"/>
      <c r="L58" s="57"/>
      <c r="M58" s="57"/>
      <c r="N58" s="59">
        <v>3900</v>
      </c>
      <c r="O58" s="57"/>
      <c r="P58" s="57"/>
      <c r="Q58" s="57"/>
      <c r="R58" s="57"/>
      <c r="S58" s="57"/>
      <c r="T58" s="57"/>
      <c r="U58" s="57"/>
      <c r="V58" s="65" t="s">
        <v>179</v>
      </c>
      <c r="W58" s="57"/>
    </row>
    <row r="59" spans="1:23" x14ac:dyDescent="0.3">
      <c r="A59" s="56">
        <v>46101</v>
      </c>
      <c r="B59" s="58" t="s">
        <v>227</v>
      </c>
      <c r="C59" s="58" t="s">
        <v>228</v>
      </c>
      <c r="D59" s="58" t="s">
        <v>225</v>
      </c>
      <c r="E59" s="57" t="s">
        <v>226</v>
      </c>
      <c r="F59" s="58" t="s">
        <v>224</v>
      </c>
      <c r="G59" s="58" t="s">
        <v>224</v>
      </c>
      <c r="H59" s="57">
        <v>40</v>
      </c>
      <c r="I59" s="59">
        <v>235</v>
      </c>
      <c r="J59" s="58" t="s">
        <v>171</v>
      </c>
      <c r="K59" s="57"/>
      <c r="L59" s="57"/>
      <c r="M59" s="57"/>
      <c r="N59" s="59">
        <v>9400</v>
      </c>
      <c r="O59" s="57"/>
      <c r="P59" s="57"/>
      <c r="Q59" s="57"/>
      <c r="R59" s="57"/>
      <c r="S59" s="57"/>
      <c r="T59" s="57"/>
      <c r="U59" s="57"/>
      <c r="V59" s="65" t="s">
        <v>179</v>
      </c>
      <c r="W59" s="57"/>
    </row>
    <row r="60" spans="1:23" x14ac:dyDescent="0.3">
      <c r="A60" s="56">
        <v>46101</v>
      </c>
      <c r="B60" s="58" t="s">
        <v>227</v>
      </c>
      <c r="C60" s="58">
        <v>548</v>
      </c>
      <c r="D60" s="58" t="s">
        <v>225</v>
      </c>
      <c r="E60" s="57" t="s">
        <v>229</v>
      </c>
      <c r="F60" s="58" t="s">
        <v>189</v>
      </c>
      <c r="G60" s="58" t="s">
        <v>189</v>
      </c>
      <c r="H60" s="57">
        <v>150</v>
      </c>
      <c r="I60" s="59">
        <v>192</v>
      </c>
      <c r="J60" s="58" t="s">
        <v>171</v>
      </c>
      <c r="K60" s="57"/>
      <c r="L60" s="57"/>
      <c r="M60" s="57"/>
      <c r="N60" s="59">
        <v>28800</v>
      </c>
      <c r="O60" s="57"/>
      <c r="P60" s="57"/>
      <c r="Q60" s="57"/>
      <c r="R60" s="57"/>
      <c r="S60" s="57"/>
      <c r="T60" s="57"/>
      <c r="U60" s="57"/>
      <c r="V60" s="65" t="s">
        <v>179</v>
      </c>
      <c r="W60" s="57"/>
    </row>
    <row r="61" spans="1:23" x14ac:dyDescent="0.3">
      <c r="A61" s="56">
        <v>46101</v>
      </c>
      <c r="B61" s="58" t="s">
        <v>227</v>
      </c>
      <c r="C61" s="58">
        <v>548</v>
      </c>
      <c r="D61" s="58" t="s">
        <v>225</v>
      </c>
      <c r="E61" s="57" t="s">
        <v>229</v>
      </c>
      <c r="F61" s="58" t="s">
        <v>235</v>
      </c>
      <c r="G61" s="58" t="s">
        <v>235</v>
      </c>
      <c r="H61" s="57">
        <v>200</v>
      </c>
      <c r="I61" s="59">
        <v>128</v>
      </c>
      <c r="J61" s="58" t="s">
        <v>171</v>
      </c>
      <c r="K61" s="57"/>
      <c r="L61" s="57"/>
      <c r="M61" s="57"/>
      <c r="N61" s="59">
        <v>25600</v>
      </c>
      <c r="O61" s="57"/>
      <c r="P61" s="57"/>
      <c r="Q61" s="57"/>
      <c r="R61" s="57"/>
      <c r="S61" s="57"/>
      <c r="T61" s="57"/>
      <c r="U61" s="57"/>
      <c r="V61" s="65" t="s">
        <v>179</v>
      </c>
      <c r="W61" s="57"/>
    </row>
    <row r="62" spans="1:23" x14ac:dyDescent="0.3">
      <c r="A62" s="56">
        <v>46101</v>
      </c>
      <c r="B62" s="58" t="s">
        <v>227</v>
      </c>
      <c r="C62" s="58">
        <v>548</v>
      </c>
      <c r="D62" s="58" t="s">
        <v>225</v>
      </c>
      <c r="E62" s="57" t="s">
        <v>229</v>
      </c>
      <c r="F62" s="58" t="s">
        <v>230</v>
      </c>
      <c r="G62" s="58" t="s">
        <v>230</v>
      </c>
      <c r="H62" s="57">
        <v>25</v>
      </c>
      <c r="I62" s="59">
        <v>197</v>
      </c>
      <c r="J62" s="58" t="s">
        <v>171</v>
      </c>
      <c r="K62" s="57"/>
      <c r="L62" s="57"/>
      <c r="M62" s="57"/>
      <c r="N62" s="59">
        <v>4925</v>
      </c>
      <c r="O62" s="57"/>
      <c r="P62" s="57"/>
      <c r="Q62" s="57"/>
      <c r="R62" s="57"/>
      <c r="S62" s="57"/>
      <c r="T62" s="57"/>
      <c r="U62" s="57"/>
      <c r="V62" s="65" t="s">
        <v>179</v>
      </c>
      <c r="W62" s="57"/>
    </row>
    <row r="63" spans="1:23" x14ac:dyDescent="0.3">
      <c r="A63" s="56">
        <v>46101</v>
      </c>
      <c r="B63" s="58" t="s">
        <v>227</v>
      </c>
      <c r="C63" s="58">
        <v>548</v>
      </c>
      <c r="D63" s="58" t="s">
        <v>225</v>
      </c>
      <c r="E63" s="57" t="s">
        <v>229</v>
      </c>
      <c r="F63" s="58" t="s">
        <v>231</v>
      </c>
      <c r="G63" s="58" t="s">
        <v>231</v>
      </c>
      <c r="H63" s="57">
        <v>25</v>
      </c>
      <c r="I63" s="59">
        <v>227</v>
      </c>
      <c r="J63" s="58" t="s">
        <v>171</v>
      </c>
      <c r="K63" s="57"/>
      <c r="L63" s="57"/>
      <c r="M63" s="57"/>
      <c r="N63" s="59">
        <v>5675</v>
      </c>
      <c r="O63" s="57"/>
      <c r="P63" s="57"/>
      <c r="Q63" s="57"/>
      <c r="R63" s="57"/>
      <c r="S63" s="57"/>
      <c r="T63" s="57"/>
      <c r="U63" s="57"/>
      <c r="V63" s="65" t="s">
        <v>179</v>
      </c>
      <c r="W63" s="57"/>
    </row>
    <row r="64" spans="1:23" x14ac:dyDescent="0.3">
      <c r="A64" s="56">
        <v>46101</v>
      </c>
      <c r="B64" s="58" t="s">
        <v>227</v>
      </c>
      <c r="C64" s="58">
        <v>548</v>
      </c>
      <c r="D64" s="58" t="s">
        <v>225</v>
      </c>
      <c r="E64" s="57" t="s">
        <v>229</v>
      </c>
      <c r="F64" s="58" t="s">
        <v>200</v>
      </c>
      <c r="G64" s="58" t="s">
        <v>200</v>
      </c>
      <c r="H64" s="57">
        <v>50</v>
      </c>
      <c r="I64" s="59">
        <v>95</v>
      </c>
      <c r="J64" s="58" t="s">
        <v>171</v>
      </c>
      <c r="K64" s="57"/>
      <c r="L64" s="57"/>
      <c r="M64" s="57"/>
      <c r="N64" s="59">
        <v>4750</v>
      </c>
      <c r="O64" s="57"/>
      <c r="P64" s="57"/>
      <c r="Q64" s="57"/>
      <c r="R64" s="57"/>
      <c r="S64" s="57"/>
      <c r="T64" s="57"/>
      <c r="U64" s="57"/>
      <c r="V64" s="65" t="s">
        <v>179</v>
      </c>
      <c r="W64" s="57"/>
    </row>
    <row r="65" spans="1:23" x14ac:dyDescent="0.3">
      <c r="A65" s="56">
        <v>46101</v>
      </c>
      <c r="B65" s="58" t="s">
        <v>227</v>
      </c>
      <c r="C65" s="58">
        <v>548</v>
      </c>
      <c r="D65" s="58" t="s">
        <v>225</v>
      </c>
      <c r="E65" s="57" t="s">
        <v>229</v>
      </c>
      <c r="F65" s="58" t="s">
        <v>234</v>
      </c>
      <c r="G65" s="58" t="s">
        <v>234</v>
      </c>
      <c r="H65" s="57">
        <v>150</v>
      </c>
      <c r="I65" s="59">
        <v>155</v>
      </c>
      <c r="J65" s="58" t="s">
        <v>171</v>
      </c>
      <c r="K65" s="57"/>
      <c r="L65" s="57"/>
      <c r="M65" s="57"/>
      <c r="N65" s="59">
        <v>23250</v>
      </c>
      <c r="O65" s="57"/>
      <c r="P65" s="57"/>
      <c r="Q65" s="57"/>
      <c r="R65" s="57"/>
      <c r="S65" s="57"/>
      <c r="T65" s="57"/>
      <c r="U65" s="57"/>
      <c r="V65" s="65" t="s">
        <v>179</v>
      </c>
      <c r="W65" s="57"/>
    </row>
    <row r="66" spans="1:23" x14ac:dyDescent="0.3">
      <c r="A66" s="56">
        <v>46101</v>
      </c>
      <c r="B66" s="58" t="s">
        <v>227</v>
      </c>
      <c r="C66" s="58">
        <v>548</v>
      </c>
      <c r="D66" s="58" t="s">
        <v>225</v>
      </c>
      <c r="E66" s="57" t="s">
        <v>229</v>
      </c>
      <c r="F66" s="58" t="s">
        <v>198</v>
      </c>
      <c r="G66" s="58" t="s">
        <v>198</v>
      </c>
      <c r="H66" s="57">
        <v>50</v>
      </c>
      <c r="I66" s="59">
        <v>175</v>
      </c>
      <c r="J66" s="58" t="s">
        <v>171</v>
      </c>
      <c r="K66" s="57"/>
      <c r="L66" s="57"/>
      <c r="M66" s="57"/>
      <c r="N66" s="59">
        <v>8750</v>
      </c>
      <c r="O66" s="57"/>
      <c r="P66" s="57"/>
      <c r="Q66" s="57"/>
      <c r="R66" s="57"/>
      <c r="S66" s="57"/>
      <c r="T66" s="57"/>
      <c r="U66" s="57"/>
      <c r="V66" s="65" t="s">
        <v>179</v>
      </c>
      <c r="W66" s="57"/>
    </row>
    <row r="67" spans="1:23" x14ac:dyDescent="0.3">
      <c r="A67" s="56">
        <v>46101</v>
      </c>
      <c r="B67" s="58" t="s">
        <v>227</v>
      </c>
      <c r="C67" s="58">
        <v>548</v>
      </c>
      <c r="D67" s="58" t="s">
        <v>225</v>
      </c>
      <c r="E67" s="57" t="s">
        <v>229</v>
      </c>
      <c r="F67" s="58" t="s">
        <v>193</v>
      </c>
      <c r="G67" s="58" t="s">
        <v>193</v>
      </c>
      <c r="H67" s="57">
        <v>125</v>
      </c>
      <c r="I67" s="59">
        <v>108</v>
      </c>
      <c r="J67" s="58" t="s">
        <v>171</v>
      </c>
      <c r="K67" s="57"/>
      <c r="L67" s="57"/>
      <c r="M67" s="57"/>
      <c r="N67" s="59">
        <v>13500</v>
      </c>
      <c r="O67" s="57"/>
      <c r="P67" s="57"/>
      <c r="Q67" s="57"/>
      <c r="R67" s="57"/>
      <c r="S67" s="57"/>
      <c r="T67" s="57"/>
      <c r="U67" s="57"/>
      <c r="V67" s="65" t="s">
        <v>179</v>
      </c>
      <c r="W67" s="57"/>
    </row>
    <row r="68" spans="1:23" x14ac:dyDescent="0.3">
      <c r="A68" s="56">
        <v>46101</v>
      </c>
      <c r="B68" s="58" t="s">
        <v>227</v>
      </c>
      <c r="C68" s="58">
        <v>548</v>
      </c>
      <c r="D68" s="58" t="s">
        <v>225</v>
      </c>
      <c r="E68" s="57" t="s">
        <v>229</v>
      </c>
      <c r="F68" s="58" t="s">
        <v>244</v>
      </c>
      <c r="G68" s="58" t="s">
        <v>244</v>
      </c>
      <c r="H68" s="57">
        <v>30</v>
      </c>
      <c r="I68" s="59">
        <v>112</v>
      </c>
      <c r="J68" s="58" t="s">
        <v>171</v>
      </c>
      <c r="K68" s="57"/>
      <c r="L68" s="57"/>
      <c r="M68" s="57"/>
      <c r="N68" s="59">
        <v>3360</v>
      </c>
      <c r="O68" s="57"/>
      <c r="P68" s="57"/>
      <c r="Q68" s="57"/>
      <c r="R68" s="57"/>
      <c r="S68" s="57"/>
      <c r="T68" s="57"/>
      <c r="U68" s="57"/>
      <c r="V68" s="65" t="s">
        <v>179</v>
      </c>
      <c r="W68" s="57"/>
    </row>
    <row r="69" spans="1:23" x14ac:dyDescent="0.3">
      <c r="A69" s="56">
        <v>46101</v>
      </c>
      <c r="B69" s="58" t="s">
        <v>227</v>
      </c>
      <c r="C69" s="58">
        <v>548</v>
      </c>
      <c r="D69" s="58" t="s">
        <v>225</v>
      </c>
      <c r="E69" s="57" t="s">
        <v>229</v>
      </c>
      <c r="F69" s="58" t="s">
        <v>202</v>
      </c>
      <c r="G69" s="58" t="s">
        <v>202</v>
      </c>
      <c r="H69" s="57">
        <v>30</v>
      </c>
      <c r="I69" s="59">
        <v>126</v>
      </c>
      <c r="J69" s="58" t="s">
        <v>171</v>
      </c>
      <c r="K69" s="57"/>
      <c r="L69" s="57"/>
      <c r="M69" s="57"/>
      <c r="N69" s="59">
        <v>3780</v>
      </c>
      <c r="O69" s="57"/>
      <c r="P69" s="57"/>
      <c r="Q69" s="57"/>
      <c r="R69" s="57"/>
      <c r="S69" s="57"/>
      <c r="T69" s="57"/>
      <c r="U69" s="57"/>
      <c r="V69" s="65" t="s">
        <v>179</v>
      </c>
      <c r="W69" s="57"/>
    </row>
    <row r="70" spans="1:23" x14ac:dyDescent="0.3">
      <c r="A70" s="56">
        <v>46101</v>
      </c>
      <c r="B70" s="58" t="s">
        <v>227</v>
      </c>
      <c r="C70" s="58">
        <v>548</v>
      </c>
      <c r="D70" s="58" t="s">
        <v>225</v>
      </c>
      <c r="E70" s="57" t="s">
        <v>229</v>
      </c>
      <c r="F70" s="58" t="s">
        <v>233</v>
      </c>
      <c r="G70" s="58" t="s">
        <v>233</v>
      </c>
      <c r="H70" s="57">
        <v>60</v>
      </c>
      <c r="I70" s="59">
        <v>135</v>
      </c>
      <c r="J70" s="58" t="s">
        <v>171</v>
      </c>
      <c r="K70" s="57"/>
      <c r="L70" s="57"/>
      <c r="M70" s="57"/>
      <c r="N70" s="59">
        <v>8100</v>
      </c>
      <c r="O70" s="57"/>
      <c r="P70" s="57"/>
      <c r="Q70" s="57"/>
      <c r="R70" s="57"/>
      <c r="S70" s="57"/>
      <c r="T70" s="57"/>
      <c r="U70" s="57"/>
      <c r="V70" s="65" t="s">
        <v>179</v>
      </c>
      <c r="W70" s="57"/>
    </row>
    <row r="71" spans="1:23" x14ac:dyDescent="0.3">
      <c r="A71" s="56">
        <v>46102</v>
      </c>
      <c r="B71" s="58" t="s">
        <v>227</v>
      </c>
      <c r="C71" s="58">
        <v>360</v>
      </c>
      <c r="D71" s="58" t="s">
        <v>225</v>
      </c>
      <c r="E71" s="57" t="s">
        <v>236</v>
      </c>
      <c r="F71" s="58" t="s">
        <v>238</v>
      </c>
      <c r="G71" s="58" t="s">
        <v>238</v>
      </c>
      <c r="H71" s="57">
        <v>50</v>
      </c>
      <c r="I71" s="59">
        <v>195</v>
      </c>
      <c r="J71" s="58" t="s">
        <v>171</v>
      </c>
      <c r="K71" s="57"/>
      <c r="L71" s="57"/>
      <c r="M71" s="57"/>
      <c r="N71" s="59">
        <v>9750</v>
      </c>
      <c r="O71" s="57"/>
      <c r="P71" s="57"/>
      <c r="Q71" s="57"/>
      <c r="R71" s="57"/>
      <c r="S71" s="57"/>
      <c r="T71" s="57"/>
      <c r="U71" s="57"/>
      <c r="V71" s="65" t="s">
        <v>179</v>
      </c>
      <c r="W71" s="57"/>
    </row>
    <row r="72" spans="1:23" x14ac:dyDescent="0.3">
      <c r="A72" s="56">
        <v>46102</v>
      </c>
      <c r="B72" s="58" t="s">
        <v>227</v>
      </c>
      <c r="C72" s="58">
        <v>360</v>
      </c>
      <c r="D72" s="58" t="s">
        <v>225</v>
      </c>
      <c r="E72" s="57" t="s">
        <v>236</v>
      </c>
      <c r="F72" s="58" t="s">
        <v>239</v>
      </c>
      <c r="G72" s="58" t="s">
        <v>239</v>
      </c>
      <c r="H72" s="57">
        <v>50.2</v>
      </c>
      <c r="I72" s="59">
        <v>160</v>
      </c>
      <c r="J72" s="58" t="s">
        <v>171</v>
      </c>
      <c r="K72" s="57"/>
      <c r="L72" s="57"/>
      <c r="M72" s="57"/>
      <c r="N72" s="59">
        <v>8032</v>
      </c>
      <c r="O72" s="57"/>
      <c r="P72" s="57"/>
      <c r="Q72" s="57"/>
      <c r="R72" s="57"/>
      <c r="S72" s="57"/>
      <c r="T72" s="57"/>
      <c r="U72" s="57"/>
      <c r="V72" s="65" t="s">
        <v>179</v>
      </c>
      <c r="W72" s="57"/>
    </row>
    <row r="73" spans="1:23" x14ac:dyDescent="0.3">
      <c r="A73" s="56">
        <v>46102</v>
      </c>
      <c r="B73" s="58" t="s">
        <v>227</v>
      </c>
      <c r="C73" s="58">
        <v>360</v>
      </c>
      <c r="D73" s="58" t="s">
        <v>225</v>
      </c>
      <c r="E73" s="57" t="s">
        <v>236</v>
      </c>
      <c r="F73" s="58" t="s">
        <v>197</v>
      </c>
      <c r="G73" s="58" t="s">
        <v>197</v>
      </c>
      <c r="H73" s="57">
        <v>75</v>
      </c>
      <c r="I73" s="59">
        <v>180</v>
      </c>
      <c r="J73" s="58" t="s">
        <v>171</v>
      </c>
      <c r="K73" s="57"/>
      <c r="L73" s="57"/>
      <c r="M73" s="57"/>
      <c r="N73" s="59">
        <v>13500</v>
      </c>
      <c r="O73" s="57"/>
      <c r="P73" s="57"/>
      <c r="Q73" s="57"/>
      <c r="R73" s="57"/>
      <c r="S73" s="57"/>
      <c r="T73" s="57"/>
      <c r="U73" s="57"/>
      <c r="V73" s="65" t="s">
        <v>179</v>
      </c>
      <c r="W73" s="57"/>
    </row>
    <row r="74" spans="1:23" x14ac:dyDescent="0.3">
      <c r="A74" s="56">
        <v>46102</v>
      </c>
      <c r="B74" s="58" t="s">
        <v>227</v>
      </c>
      <c r="C74" s="58">
        <v>360</v>
      </c>
      <c r="D74" s="58" t="s">
        <v>225</v>
      </c>
      <c r="E74" s="57" t="s">
        <v>236</v>
      </c>
      <c r="F74" s="58" t="s">
        <v>240</v>
      </c>
      <c r="G74" s="58" t="s">
        <v>240</v>
      </c>
      <c r="H74" s="57">
        <v>50</v>
      </c>
      <c r="I74" s="59">
        <v>70</v>
      </c>
      <c r="J74" s="58" t="s">
        <v>171</v>
      </c>
      <c r="K74" s="57"/>
      <c r="L74" s="57"/>
      <c r="M74" s="57"/>
      <c r="N74" s="59">
        <v>3500</v>
      </c>
      <c r="O74" s="57"/>
      <c r="P74" s="57"/>
      <c r="Q74" s="57"/>
      <c r="R74" s="57"/>
      <c r="S74" s="57"/>
      <c r="T74" s="57"/>
      <c r="U74" s="57"/>
      <c r="V74" s="65" t="s">
        <v>179</v>
      </c>
      <c r="W74" s="57"/>
    </row>
    <row r="75" spans="1:23" x14ac:dyDescent="0.3">
      <c r="A75" s="56">
        <v>46102</v>
      </c>
      <c r="B75" s="58" t="s">
        <v>227</v>
      </c>
      <c r="C75" s="58">
        <v>360</v>
      </c>
      <c r="D75" s="58" t="s">
        <v>225</v>
      </c>
      <c r="E75" s="57" t="s">
        <v>236</v>
      </c>
      <c r="F75" s="58" t="s">
        <v>203</v>
      </c>
      <c r="G75" s="58" t="s">
        <v>203</v>
      </c>
      <c r="H75" s="57">
        <v>75</v>
      </c>
      <c r="I75" s="59">
        <v>180</v>
      </c>
      <c r="J75" s="58" t="s">
        <v>171</v>
      </c>
      <c r="K75" s="57"/>
      <c r="L75" s="57"/>
      <c r="M75" s="57"/>
      <c r="N75" s="59">
        <v>13500</v>
      </c>
      <c r="O75" s="57"/>
      <c r="P75" s="57"/>
      <c r="Q75" s="57"/>
      <c r="R75" s="57"/>
      <c r="S75" s="57"/>
      <c r="T75" s="57"/>
      <c r="U75" s="57"/>
      <c r="V75" s="65" t="s">
        <v>179</v>
      </c>
      <c r="W75" s="57"/>
    </row>
    <row r="76" spans="1:23" x14ac:dyDescent="0.3">
      <c r="A76" s="56">
        <v>46102</v>
      </c>
      <c r="B76" s="58" t="s">
        <v>227</v>
      </c>
      <c r="C76" s="58">
        <v>360</v>
      </c>
      <c r="D76" s="58" t="s">
        <v>225</v>
      </c>
      <c r="E76" s="57" t="s">
        <v>236</v>
      </c>
      <c r="F76" s="58" t="s">
        <v>203</v>
      </c>
      <c r="G76" s="58" t="s">
        <v>203</v>
      </c>
      <c r="H76" s="57">
        <v>75</v>
      </c>
      <c r="I76" s="59">
        <v>178</v>
      </c>
      <c r="J76" s="58" t="s">
        <v>171</v>
      </c>
      <c r="K76" s="57"/>
      <c r="L76" s="57"/>
      <c r="M76" s="57"/>
      <c r="N76" s="59">
        <v>13350</v>
      </c>
      <c r="O76" s="57"/>
      <c r="P76" s="57"/>
      <c r="Q76" s="57"/>
      <c r="R76" s="57"/>
      <c r="S76" s="57"/>
      <c r="T76" s="57"/>
      <c r="U76" s="57"/>
      <c r="V76" s="65" t="s">
        <v>179</v>
      </c>
      <c r="W76" s="57"/>
    </row>
    <row r="77" spans="1:23" x14ac:dyDescent="0.3">
      <c r="A77" s="56">
        <v>46102</v>
      </c>
      <c r="B77" s="58" t="s">
        <v>227</v>
      </c>
      <c r="C77" s="58">
        <v>360</v>
      </c>
      <c r="D77" s="58" t="s">
        <v>225</v>
      </c>
      <c r="E77" s="57" t="s">
        <v>236</v>
      </c>
      <c r="F77" s="58" t="s">
        <v>189</v>
      </c>
      <c r="G77" s="58" t="s">
        <v>189</v>
      </c>
      <c r="H77" s="57">
        <v>125</v>
      </c>
      <c r="I77" s="59">
        <v>185</v>
      </c>
      <c r="J77" s="58" t="s">
        <v>171</v>
      </c>
      <c r="K77" s="57"/>
      <c r="L77" s="57"/>
      <c r="M77" s="57"/>
      <c r="N77" s="59">
        <v>23125</v>
      </c>
      <c r="O77" s="57"/>
      <c r="P77" s="57"/>
      <c r="Q77" s="57"/>
      <c r="R77" s="57"/>
      <c r="S77" s="57"/>
      <c r="T77" s="57"/>
      <c r="U77" s="57"/>
      <c r="V77" s="65" t="s">
        <v>179</v>
      </c>
      <c r="W77" s="57"/>
    </row>
    <row r="78" spans="1:23" x14ac:dyDescent="0.3">
      <c r="A78" s="56">
        <v>46102</v>
      </c>
      <c r="B78" s="58" t="s">
        <v>227</v>
      </c>
      <c r="C78" s="58">
        <v>360</v>
      </c>
      <c r="D78" s="58" t="s">
        <v>225</v>
      </c>
      <c r="E78" s="57" t="s">
        <v>236</v>
      </c>
      <c r="F78" s="58" t="s">
        <v>241</v>
      </c>
      <c r="G78" s="58" t="s">
        <v>241</v>
      </c>
      <c r="H78" s="57">
        <v>50</v>
      </c>
      <c r="I78" s="59">
        <v>230</v>
      </c>
      <c r="J78" s="58" t="s">
        <v>171</v>
      </c>
      <c r="K78" s="57"/>
      <c r="L78" s="57"/>
      <c r="M78" s="57"/>
      <c r="N78" s="59">
        <v>11500</v>
      </c>
      <c r="O78" s="57"/>
      <c r="P78" s="57"/>
      <c r="Q78" s="57"/>
      <c r="R78" s="57"/>
      <c r="S78" s="57"/>
      <c r="T78" s="57"/>
      <c r="U78" s="57"/>
      <c r="V78" s="65" t="s">
        <v>179</v>
      </c>
      <c r="W78" s="57"/>
    </row>
    <row r="79" spans="1:23" x14ac:dyDescent="0.3">
      <c r="A79" s="56">
        <v>46102</v>
      </c>
      <c r="B79" s="58" t="s">
        <v>227</v>
      </c>
      <c r="C79" s="58">
        <v>360</v>
      </c>
      <c r="D79" s="58" t="s">
        <v>225</v>
      </c>
      <c r="E79" s="57" t="s">
        <v>236</v>
      </c>
      <c r="F79" s="58" t="s">
        <v>242</v>
      </c>
      <c r="G79" s="58" t="s">
        <v>242</v>
      </c>
      <c r="H79" s="57">
        <v>30</v>
      </c>
      <c r="I79" s="59">
        <v>190</v>
      </c>
      <c r="J79" s="58" t="s">
        <v>171</v>
      </c>
      <c r="K79" s="57"/>
      <c r="L79" s="57"/>
      <c r="M79" s="57"/>
      <c r="N79" s="59">
        <v>5700</v>
      </c>
      <c r="O79" s="57"/>
      <c r="P79" s="57"/>
      <c r="Q79" s="57"/>
      <c r="R79" s="57"/>
      <c r="S79" s="57"/>
      <c r="T79" s="57"/>
      <c r="U79" s="57"/>
      <c r="V79" s="65" t="s">
        <v>179</v>
      </c>
      <c r="W79" s="57"/>
    </row>
    <row r="80" spans="1:23" x14ac:dyDescent="0.3">
      <c r="A80" s="56">
        <v>46102</v>
      </c>
      <c r="B80" s="58" t="s">
        <v>227</v>
      </c>
      <c r="C80" s="58">
        <v>360</v>
      </c>
      <c r="D80" s="58" t="s">
        <v>225</v>
      </c>
      <c r="E80" s="57" t="s">
        <v>236</v>
      </c>
      <c r="F80" s="58" t="s">
        <v>243</v>
      </c>
      <c r="G80" s="58" t="s">
        <v>243</v>
      </c>
      <c r="H80" s="57">
        <v>300</v>
      </c>
      <c r="I80" s="59">
        <v>135</v>
      </c>
      <c r="J80" s="58" t="s">
        <v>171</v>
      </c>
      <c r="K80" s="57"/>
      <c r="L80" s="57"/>
      <c r="M80" s="57"/>
      <c r="N80" s="59">
        <v>40500</v>
      </c>
      <c r="O80" s="57"/>
      <c r="P80" s="57"/>
      <c r="Q80" s="57"/>
      <c r="R80" s="57"/>
      <c r="S80" s="57"/>
      <c r="T80" s="57"/>
      <c r="U80" s="57"/>
      <c r="V80" s="65" t="s">
        <v>179</v>
      </c>
      <c r="W80" s="57"/>
    </row>
    <row r="81" spans="1:23" x14ac:dyDescent="0.3">
      <c r="A81" s="56">
        <v>46102</v>
      </c>
      <c r="B81" s="58" t="s">
        <v>227</v>
      </c>
      <c r="C81" s="58">
        <v>360</v>
      </c>
      <c r="D81" s="58" t="s">
        <v>225</v>
      </c>
      <c r="E81" s="57" t="s">
        <v>236</v>
      </c>
      <c r="F81" s="58" t="s">
        <v>197</v>
      </c>
      <c r="G81" s="58" t="s">
        <v>197</v>
      </c>
      <c r="H81" s="57">
        <v>125</v>
      </c>
      <c r="I81" s="59">
        <v>180</v>
      </c>
      <c r="J81" s="58" t="s">
        <v>171</v>
      </c>
      <c r="K81" s="57"/>
      <c r="L81" s="57"/>
      <c r="M81" s="57"/>
      <c r="N81" s="59">
        <v>22500</v>
      </c>
      <c r="O81" s="57"/>
      <c r="P81" s="57"/>
      <c r="Q81" s="57"/>
      <c r="R81" s="57"/>
      <c r="S81" s="57"/>
      <c r="T81" s="57"/>
      <c r="U81" s="57"/>
      <c r="V81" s="65" t="s">
        <v>179</v>
      </c>
      <c r="W81" s="57"/>
    </row>
    <row r="82" spans="1:23" x14ac:dyDescent="0.3">
      <c r="A82" s="56">
        <v>46102</v>
      </c>
      <c r="B82" s="58" t="s">
        <v>227</v>
      </c>
      <c r="C82" s="58">
        <v>360</v>
      </c>
      <c r="D82" s="58" t="s">
        <v>225</v>
      </c>
      <c r="E82" s="57" t="s">
        <v>236</v>
      </c>
      <c r="F82" s="58" t="s">
        <v>198</v>
      </c>
      <c r="G82" s="58" t="s">
        <v>198</v>
      </c>
      <c r="H82" s="57">
        <v>30</v>
      </c>
      <c r="I82" s="59">
        <v>146</v>
      </c>
      <c r="J82" s="58" t="s">
        <v>171</v>
      </c>
      <c r="K82" s="57"/>
      <c r="L82" s="57"/>
      <c r="M82" s="57"/>
      <c r="N82" s="59">
        <v>4380</v>
      </c>
      <c r="O82" s="57"/>
      <c r="P82" s="57"/>
      <c r="Q82" s="57"/>
      <c r="R82" s="57"/>
      <c r="S82" s="57"/>
      <c r="T82" s="57"/>
      <c r="U82" s="57"/>
      <c r="V82" s="65" t="s">
        <v>179</v>
      </c>
      <c r="W82" s="57"/>
    </row>
    <row r="83" spans="1:23" x14ac:dyDescent="0.3">
      <c r="A83" s="56">
        <v>46102</v>
      </c>
      <c r="B83" s="58" t="s">
        <v>227</v>
      </c>
      <c r="C83" s="58">
        <v>360</v>
      </c>
      <c r="D83" s="58" t="s">
        <v>225</v>
      </c>
      <c r="E83" s="57" t="s">
        <v>236</v>
      </c>
      <c r="F83" s="58" t="s">
        <v>244</v>
      </c>
      <c r="G83" s="58" t="s">
        <v>244</v>
      </c>
      <c r="H83" s="57">
        <v>90</v>
      </c>
      <c r="I83" s="59">
        <v>112</v>
      </c>
      <c r="J83" s="58" t="s">
        <v>171</v>
      </c>
      <c r="K83" s="57"/>
      <c r="L83" s="57"/>
      <c r="M83" s="57"/>
      <c r="N83" s="59">
        <v>10080</v>
      </c>
      <c r="O83" s="57"/>
      <c r="P83" s="57"/>
      <c r="Q83" s="57"/>
      <c r="R83" s="57"/>
      <c r="S83" s="57"/>
      <c r="T83" s="57"/>
      <c r="U83" s="57"/>
      <c r="V83" s="65" t="s">
        <v>179</v>
      </c>
      <c r="W83" s="57"/>
    </row>
    <row r="84" spans="1:23" s="193" customFormat="1" x14ac:dyDescent="0.3">
      <c r="A84" s="189">
        <v>46109</v>
      </c>
      <c r="B84" s="190" t="s">
        <v>227</v>
      </c>
      <c r="C84" s="190">
        <v>419</v>
      </c>
      <c r="D84" s="190" t="s">
        <v>176</v>
      </c>
      <c r="E84" s="191">
        <v>600723602</v>
      </c>
      <c r="F84" s="190" t="s">
        <v>178</v>
      </c>
      <c r="G84" s="190" t="s">
        <v>178</v>
      </c>
      <c r="H84" s="191">
        <v>3000</v>
      </c>
      <c r="I84" s="192">
        <v>125</v>
      </c>
      <c r="J84" s="190" t="s">
        <v>172</v>
      </c>
      <c r="K84" s="192">
        <v>375000</v>
      </c>
      <c r="L84" s="192">
        <v>48750</v>
      </c>
      <c r="M84" s="192">
        <v>423750</v>
      </c>
      <c r="N84" s="192"/>
      <c r="O84" s="191"/>
      <c r="P84" s="191"/>
      <c r="Q84" s="191"/>
      <c r="R84" s="191"/>
      <c r="S84" s="191"/>
      <c r="T84" s="191"/>
      <c r="U84" s="191"/>
      <c r="V84" s="196" t="s">
        <v>179</v>
      </c>
      <c r="W84" s="191"/>
    </row>
    <row r="85" spans="1:23" s="193" customFormat="1" x14ac:dyDescent="0.3">
      <c r="A85" s="189">
        <v>46102</v>
      </c>
      <c r="B85" s="190" t="s">
        <v>227</v>
      </c>
      <c r="C85" s="190">
        <v>410</v>
      </c>
      <c r="D85" s="190" t="s">
        <v>176</v>
      </c>
      <c r="E85" s="191">
        <v>600723602</v>
      </c>
      <c r="F85" s="190" t="s">
        <v>178</v>
      </c>
      <c r="G85" s="190" t="s">
        <v>178</v>
      </c>
      <c r="H85" s="191">
        <v>3000</v>
      </c>
      <c r="I85" s="192">
        <v>97</v>
      </c>
      <c r="J85" s="190" t="s">
        <v>172</v>
      </c>
      <c r="K85" s="192">
        <v>291000</v>
      </c>
      <c r="L85" s="192">
        <v>37830</v>
      </c>
      <c r="M85" s="192">
        <v>328830</v>
      </c>
      <c r="N85" s="192"/>
      <c r="O85" s="191"/>
      <c r="P85" s="191"/>
      <c r="Q85" s="191"/>
      <c r="R85" s="191"/>
      <c r="S85" s="191"/>
      <c r="T85" s="191"/>
      <c r="U85" s="191"/>
      <c r="V85" s="196" t="s">
        <v>179</v>
      </c>
      <c r="W85" s="191"/>
    </row>
    <row r="86" spans="1:23" s="193" customFormat="1" x14ac:dyDescent="0.3">
      <c r="A86" s="189">
        <v>46101</v>
      </c>
      <c r="B86" s="190" t="s">
        <v>227</v>
      </c>
      <c r="C86" s="190">
        <v>1157</v>
      </c>
      <c r="D86" s="190" t="s">
        <v>245</v>
      </c>
      <c r="E86" s="191">
        <v>616481143</v>
      </c>
      <c r="F86" s="190" t="s">
        <v>238</v>
      </c>
      <c r="G86" s="190" t="s">
        <v>238</v>
      </c>
      <c r="H86" s="191">
        <v>50</v>
      </c>
      <c r="I86" s="192">
        <v>91</v>
      </c>
      <c r="J86" s="190" t="s">
        <v>171</v>
      </c>
      <c r="K86" s="191"/>
      <c r="L86" s="191"/>
      <c r="M86" s="191"/>
      <c r="N86" s="192">
        <v>4550</v>
      </c>
      <c r="O86" s="191"/>
      <c r="P86" s="191"/>
      <c r="Q86" s="191"/>
      <c r="R86" s="191"/>
      <c r="S86" s="191"/>
      <c r="T86" s="191"/>
      <c r="U86" s="191"/>
      <c r="V86" s="196" t="s">
        <v>179</v>
      </c>
      <c r="W86" s="191"/>
    </row>
    <row r="87" spans="1:23" s="193" customFormat="1" x14ac:dyDescent="0.3">
      <c r="A87" s="189">
        <v>46101</v>
      </c>
      <c r="B87" s="190" t="s">
        <v>227</v>
      </c>
      <c r="C87" s="190">
        <v>1157</v>
      </c>
      <c r="D87" s="190" t="s">
        <v>245</v>
      </c>
      <c r="E87" s="191">
        <v>616481143</v>
      </c>
      <c r="F87" s="190" t="s">
        <v>239</v>
      </c>
      <c r="G87" s="190" t="s">
        <v>239</v>
      </c>
      <c r="H87" s="191">
        <v>50</v>
      </c>
      <c r="I87" s="192">
        <v>204</v>
      </c>
      <c r="J87" s="190" t="s">
        <v>171</v>
      </c>
      <c r="K87" s="192"/>
      <c r="L87" s="192"/>
      <c r="M87" s="192"/>
      <c r="N87" s="192">
        <v>10200</v>
      </c>
      <c r="O87" s="191"/>
      <c r="P87" s="191"/>
      <c r="Q87" s="191"/>
      <c r="R87" s="191"/>
      <c r="S87" s="191"/>
      <c r="T87" s="191"/>
      <c r="U87" s="191"/>
      <c r="V87" s="196" t="s">
        <v>179</v>
      </c>
      <c r="W87" s="191"/>
    </row>
    <row r="88" spans="1:23" s="193" customFormat="1" x14ac:dyDescent="0.3">
      <c r="A88" s="189">
        <v>46101</v>
      </c>
      <c r="B88" s="190" t="s">
        <v>227</v>
      </c>
      <c r="C88" s="190">
        <v>1157</v>
      </c>
      <c r="D88" s="190" t="s">
        <v>245</v>
      </c>
      <c r="E88" s="191">
        <v>616481143</v>
      </c>
      <c r="F88" s="190" t="s">
        <v>197</v>
      </c>
      <c r="G88" s="190" t="s">
        <v>197</v>
      </c>
      <c r="H88" s="191">
        <v>105</v>
      </c>
      <c r="I88" s="192">
        <v>172</v>
      </c>
      <c r="J88" s="190" t="s">
        <v>171</v>
      </c>
      <c r="K88" s="191"/>
      <c r="L88" s="191"/>
      <c r="M88" s="191"/>
      <c r="N88" s="192">
        <v>18060</v>
      </c>
      <c r="O88" s="191"/>
      <c r="P88" s="191"/>
      <c r="Q88" s="191"/>
      <c r="R88" s="191"/>
      <c r="S88" s="191"/>
      <c r="T88" s="191"/>
      <c r="U88" s="191"/>
      <c r="V88" s="196" t="s">
        <v>179</v>
      </c>
      <c r="W88" s="191"/>
    </row>
    <row r="89" spans="1:23" s="193" customFormat="1" x14ac:dyDescent="0.3">
      <c r="A89" s="189">
        <v>46101</v>
      </c>
      <c r="B89" s="190" t="s">
        <v>227</v>
      </c>
      <c r="C89" s="190">
        <v>1157</v>
      </c>
      <c r="D89" s="190" t="s">
        <v>245</v>
      </c>
      <c r="E89" s="191">
        <v>616481143</v>
      </c>
      <c r="F89" s="190" t="s">
        <v>240</v>
      </c>
      <c r="G89" s="190" t="s">
        <v>240</v>
      </c>
      <c r="H89" s="191">
        <v>50</v>
      </c>
      <c r="I89" s="192">
        <v>93</v>
      </c>
      <c r="J89" s="190" t="s">
        <v>171</v>
      </c>
      <c r="K89" s="191"/>
      <c r="L89" s="191"/>
      <c r="M89" s="191"/>
      <c r="N89" s="192">
        <v>4650</v>
      </c>
      <c r="O89" s="191"/>
      <c r="P89" s="191"/>
      <c r="Q89" s="191"/>
      <c r="R89" s="191"/>
      <c r="S89" s="191"/>
      <c r="T89" s="191"/>
      <c r="U89" s="191"/>
      <c r="V89" s="196" t="s">
        <v>179</v>
      </c>
      <c r="W89" s="191"/>
    </row>
    <row r="90" spans="1:23" s="193" customFormat="1" x14ac:dyDescent="0.3">
      <c r="A90" s="189">
        <v>46101</v>
      </c>
      <c r="B90" s="190" t="s">
        <v>227</v>
      </c>
      <c r="C90" s="190">
        <v>1157</v>
      </c>
      <c r="D90" s="190" t="s">
        <v>245</v>
      </c>
      <c r="E90" s="191">
        <v>616481143</v>
      </c>
      <c r="F90" s="190" t="s">
        <v>203</v>
      </c>
      <c r="G90" s="190" t="s">
        <v>203</v>
      </c>
      <c r="H90" s="191">
        <v>150</v>
      </c>
      <c r="I90" s="192">
        <v>133</v>
      </c>
      <c r="J90" s="190" t="s">
        <v>171</v>
      </c>
      <c r="K90" s="191"/>
      <c r="L90" s="191"/>
      <c r="M90" s="191"/>
      <c r="N90" s="192">
        <v>19950</v>
      </c>
      <c r="O90" s="191"/>
      <c r="P90" s="191"/>
      <c r="Q90" s="191"/>
      <c r="R90" s="191"/>
      <c r="S90" s="191"/>
      <c r="T90" s="191"/>
      <c r="U90" s="191"/>
      <c r="V90" s="196" t="s">
        <v>179</v>
      </c>
      <c r="W90" s="191"/>
    </row>
    <row r="91" spans="1:23" s="193" customFormat="1" x14ac:dyDescent="0.3">
      <c r="A91" s="189">
        <v>46101</v>
      </c>
      <c r="B91" s="190" t="s">
        <v>227</v>
      </c>
      <c r="C91" s="190">
        <v>1157</v>
      </c>
      <c r="D91" s="190" t="s">
        <v>245</v>
      </c>
      <c r="E91" s="191">
        <v>616481143</v>
      </c>
      <c r="F91" s="190" t="s">
        <v>189</v>
      </c>
      <c r="G91" s="190" t="s">
        <v>189</v>
      </c>
      <c r="H91" s="191">
        <v>125</v>
      </c>
      <c r="I91" s="192">
        <v>156</v>
      </c>
      <c r="J91" s="190" t="s">
        <v>171</v>
      </c>
      <c r="K91" s="191"/>
      <c r="L91" s="191"/>
      <c r="M91" s="191"/>
      <c r="N91" s="192">
        <v>19500</v>
      </c>
      <c r="O91" s="191"/>
      <c r="P91" s="191"/>
      <c r="Q91" s="191"/>
      <c r="R91" s="191"/>
      <c r="S91" s="191"/>
      <c r="T91" s="191"/>
      <c r="U91" s="191"/>
      <c r="V91" s="196" t="s">
        <v>179</v>
      </c>
      <c r="W91" s="191"/>
    </row>
    <row r="92" spans="1:23" s="193" customFormat="1" x14ac:dyDescent="0.3">
      <c r="A92" s="189">
        <v>46101</v>
      </c>
      <c r="B92" s="190" t="s">
        <v>227</v>
      </c>
      <c r="C92" s="190">
        <v>1157</v>
      </c>
      <c r="D92" s="190" t="s">
        <v>245</v>
      </c>
      <c r="E92" s="191">
        <v>616481143</v>
      </c>
      <c r="F92" s="190" t="s">
        <v>243</v>
      </c>
      <c r="G92" s="190" t="s">
        <v>243</v>
      </c>
      <c r="H92" s="191">
        <v>300</v>
      </c>
      <c r="I92" s="192">
        <v>96</v>
      </c>
      <c r="J92" s="190" t="s">
        <v>171</v>
      </c>
      <c r="K92" s="191"/>
      <c r="L92" s="191"/>
      <c r="M92" s="191"/>
      <c r="N92" s="192">
        <v>28800</v>
      </c>
      <c r="O92" s="191"/>
      <c r="P92" s="191"/>
      <c r="Q92" s="191"/>
      <c r="R92" s="191"/>
      <c r="S92" s="191"/>
      <c r="T92" s="191"/>
      <c r="U92" s="191"/>
      <c r="V92" s="196" t="s">
        <v>179</v>
      </c>
      <c r="W92" s="191"/>
    </row>
    <row r="93" spans="1:23" s="193" customFormat="1" x14ac:dyDescent="0.3">
      <c r="A93" s="189">
        <v>46101</v>
      </c>
      <c r="B93" s="190" t="s">
        <v>227</v>
      </c>
      <c r="C93" s="190">
        <v>2838</v>
      </c>
      <c r="D93" s="190" t="s">
        <v>187</v>
      </c>
      <c r="E93" s="191">
        <v>303522140</v>
      </c>
      <c r="F93" s="190" t="s">
        <v>189</v>
      </c>
      <c r="G93" s="190" t="s">
        <v>189</v>
      </c>
      <c r="H93" s="191">
        <v>150</v>
      </c>
      <c r="I93" s="192">
        <v>150</v>
      </c>
      <c r="J93" s="190" t="s">
        <v>171</v>
      </c>
      <c r="K93" s="191"/>
      <c r="L93" s="191"/>
      <c r="M93" s="191"/>
      <c r="N93" s="192">
        <v>22500</v>
      </c>
      <c r="O93" s="191"/>
      <c r="P93" s="191"/>
      <c r="Q93" s="191"/>
      <c r="R93" s="191"/>
      <c r="S93" s="191"/>
      <c r="T93" s="191"/>
      <c r="U93" s="191"/>
      <c r="V93" s="196" t="s">
        <v>179</v>
      </c>
      <c r="W93" s="191"/>
    </row>
    <row r="94" spans="1:23" s="193" customFormat="1" x14ac:dyDescent="0.3">
      <c r="A94" s="189">
        <v>46101</v>
      </c>
      <c r="B94" s="190" t="s">
        <v>227</v>
      </c>
      <c r="C94" s="190">
        <v>2838</v>
      </c>
      <c r="D94" s="190" t="s">
        <v>187</v>
      </c>
      <c r="E94" s="191">
        <v>303522140</v>
      </c>
      <c r="F94" s="190" t="s">
        <v>203</v>
      </c>
      <c r="G94" s="190" t="s">
        <v>203</v>
      </c>
      <c r="H94" s="191">
        <v>200</v>
      </c>
      <c r="I94" s="192">
        <v>128</v>
      </c>
      <c r="J94" s="190" t="s">
        <v>171</v>
      </c>
      <c r="K94" s="191"/>
      <c r="L94" s="191"/>
      <c r="M94" s="191"/>
      <c r="N94" s="192">
        <v>25600</v>
      </c>
      <c r="O94" s="191"/>
      <c r="P94" s="191"/>
      <c r="Q94" s="191"/>
      <c r="R94" s="191"/>
      <c r="S94" s="191"/>
      <c r="T94" s="191"/>
      <c r="U94" s="191"/>
      <c r="V94" s="196" t="s">
        <v>179</v>
      </c>
      <c r="W94" s="191"/>
    </row>
    <row r="95" spans="1:23" s="193" customFormat="1" x14ac:dyDescent="0.3">
      <c r="A95" s="189">
        <v>46101</v>
      </c>
      <c r="B95" s="190" t="s">
        <v>227</v>
      </c>
      <c r="C95" s="190">
        <v>2838</v>
      </c>
      <c r="D95" s="190" t="s">
        <v>187</v>
      </c>
      <c r="E95" s="191">
        <v>303522140</v>
      </c>
      <c r="F95" s="190" t="s">
        <v>238</v>
      </c>
      <c r="G95" s="190" t="s">
        <v>238</v>
      </c>
      <c r="H95" s="191">
        <v>25</v>
      </c>
      <c r="I95" s="192">
        <v>162</v>
      </c>
      <c r="J95" s="190" t="s">
        <v>171</v>
      </c>
      <c r="K95" s="191"/>
      <c r="L95" s="191"/>
      <c r="M95" s="191"/>
      <c r="N95" s="192">
        <v>4050</v>
      </c>
      <c r="O95" s="191"/>
      <c r="P95" s="191"/>
      <c r="Q95" s="191"/>
      <c r="R95" s="191"/>
      <c r="S95" s="191"/>
      <c r="T95" s="191"/>
      <c r="U95" s="191"/>
      <c r="V95" s="196" t="s">
        <v>179</v>
      </c>
      <c r="W95" s="191"/>
    </row>
    <row r="96" spans="1:23" s="193" customFormat="1" x14ac:dyDescent="0.3">
      <c r="A96" s="189">
        <v>46101</v>
      </c>
      <c r="B96" s="190" t="s">
        <v>227</v>
      </c>
      <c r="C96" s="190">
        <v>2838</v>
      </c>
      <c r="D96" s="190" t="s">
        <v>187</v>
      </c>
      <c r="E96" s="191">
        <v>303522140</v>
      </c>
      <c r="F96" s="190" t="s">
        <v>239</v>
      </c>
      <c r="G96" s="190" t="s">
        <v>239</v>
      </c>
      <c r="H96" s="191">
        <v>25</v>
      </c>
      <c r="I96" s="192">
        <v>159</v>
      </c>
      <c r="J96" s="190" t="s">
        <v>171</v>
      </c>
      <c r="K96" s="191"/>
      <c r="L96" s="191"/>
      <c r="M96" s="191"/>
      <c r="N96" s="192">
        <v>3975</v>
      </c>
      <c r="O96" s="191"/>
      <c r="P96" s="191"/>
      <c r="Q96" s="191"/>
      <c r="R96" s="191"/>
      <c r="S96" s="191"/>
      <c r="T96" s="191"/>
      <c r="U96" s="191"/>
      <c r="V96" s="196" t="s">
        <v>179</v>
      </c>
      <c r="W96" s="191"/>
    </row>
    <row r="97" spans="1:23" s="193" customFormat="1" x14ac:dyDescent="0.3">
      <c r="A97" s="189">
        <v>46101</v>
      </c>
      <c r="B97" s="190" t="s">
        <v>227</v>
      </c>
      <c r="C97" s="190">
        <v>2838</v>
      </c>
      <c r="D97" s="190" t="s">
        <v>187</v>
      </c>
      <c r="E97" s="191">
        <v>303522140</v>
      </c>
      <c r="F97" s="190" t="s">
        <v>200</v>
      </c>
      <c r="G97" s="190" t="s">
        <v>200</v>
      </c>
      <c r="H97" s="191">
        <v>50</v>
      </c>
      <c r="I97" s="192">
        <v>91</v>
      </c>
      <c r="J97" s="190" t="s">
        <v>171</v>
      </c>
      <c r="K97" s="191"/>
      <c r="L97" s="191"/>
      <c r="M97" s="191"/>
      <c r="N97" s="192">
        <v>4550</v>
      </c>
      <c r="O97" s="191"/>
      <c r="P97" s="191"/>
      <c r="Q97" s="191"/>
      <c r="R97" s="191"/>
      <c r="S97" s="191"/>
      <c r="T97" s="191"/>
      <c r="U97" s="191"/>
      <c r="V97" s="196" t="s">
        <v>179</v>
      </c>
      <c r="W97" s="191"/>
    </row>
    <row r="98" spans="1:23" s="193" customFormat="1" x14ac:dyDescent="0.3">
      <c r="A98" s="189">
        <v>46101</v>
      </c>
      <c r="B98" s="190" t="s">
        <v>227</v>
      </c>
      <c r="C98" s="190">
        <v>2838</v>
      </c>
      <c r="D98" s="190" t="s">
        <v>187</v>
      </c>
      <c r="E98" s="191">
        <v>303522140</v>
      </c>
      <c r="F98" s="190" t="s">
        <v>204</v>
      </c>
      <c r="G98" s="190" t="s">
        <v>204</v>
      </c>
      <c r="H98" s="191">
        <v>150</v>
      </c>
      <c r="I98" s="192">
        <v>171</v>
      </c>
      <c r="J98" s="190" t="s">
        <v>171</v>
      </c>
      <c r="K98" s="191"/>
      <c r="L98" s="191"/>
      <c r="M98" s="191"/>
      <c r="N98" s="192">
        <v>25650</v>
      </c>
      <c r="O98" s="191"/>
      <c r="P98" s="191"/>
      <c r="Q98" s="191"/>
      <c r="R98" s="191"/>
      <c r="S98" s="191"/>
      <c r="T98" s="191"/>
      <c r="U98" s="191"/>
      <c r="V98" s="196" t="s">
        <v>179</v>
      </c>
      <c r="W98" s="191"/>
    </row>
    <row r="99" spans="1:23" s="193" customFormat="1" x14ac:dyDescent="0.3">
      <c r="A99" s="189">
        <v>46101</v>
      </c>
      <c r="B99" s="190" t="s">
        <v>227</v>
      </c>
      <c r="C99" s="190">
        <v>2838</v>
      </c>
      <c r="D99" s="190" t="s">
        <v>187</v>
      </c>
      <c r="E99" s="191">
        <v>303522140</v>
      </c>
      <c r="F99" s="190" t="s">
        <v>198</v>
      </c>
      <c r="G99" s="190" t="s">
        <v>198</v>
      </c>
      <c r="H99" s="191">
        <v>50</v>
      </c>
      <c r="I99" s="192">
        <v>163</v>
      </c>
      <c r="J99" s="190" t="s">
        <v>171</v>
      </c>
      <c r="K99" s="191"/>
      <c r="L99" s="191"/>
      <c r="M99" s="191"/>
      <c r="N99" s="192">
        <v>8150</v>
      </c>
      <c r="O99" s="191"/>
      <c r="P99" s="191"/>
      <c r="Q99" s="191"/>
      <c r="R99" s="191"/>
      <c r="S99" s="191"/>
      <c r="T99" s="191"/>
      <c r="U99" s="191"/>
      <c r="V99" s="196" t="s">
        <v>179</v>
      </c>
      <c r="W99" s="191"/>
    </row>
    <row r="100" spans="1:23" s="193" customFormat="1" x14ac:dyDescent="0.3">
      <c r="A100" s="189">
        <v>46101</v>
      </c>
      <c r="B100" s="190" t="s">
        <v>227</v>
      </c>
      <c r="C100" s="190">
        <v>2838</v>
      </c>
      <c r="D100" s="190" t="s">
        <v>187</v>
      </c>
      <c r="E100" s="191">
        <v>303522140</v>
      </c>
      <c r="F100" s="190" t="s">
        <v>193</v>
      </c>
      <c r="G100" s="190" t="s">
        <v>193</v>
      </c>
      <c r="H100" s="191">
        <v>125</v>
      </c>
      <c r="I100" s="192">
        <v>106</v>
      </c>
      <c r="J100" s="190" t="s">
        <v>171</v>
      </c>
      <c r="K100" s="191"/>
      <c r="L100" s="191"/>
      <c r="M100" s="191"/>
      <c r="N100" s="192">
        <v>13250</v>
      </c>
      <c r="O100" s="191"/>
      <c r="P100" s="191"/>
      <c r="Q100" s="191"/>
      <c r="R100" s="191"/>
      <c r="S100" s="191"/>
      <c r="T100" s="191"/>
      <c r="U100" s="191"/>
      <c r="V100" s="196" t="s">
        <v>179</v>
      </c>
      <c r="W100" s="191"/>
    </row>
    <row r="101" spans="1:23" s="193" customFormat="1" x14ac:dyDescent="0.3">
      <c r="A101" s="189">
        <v>46101</v>
      </c>
      <c r="B101" s="190" t="s">
        <v>227</v>
      </c>
      <c r="C101" s="190">
        <v>2838</v>
      </c>
      <c r="D101" s="190" t="s">
        <v>187</v>
      </c>
      <c r="E101" s="191">
        <v>303522140</v>
      </c>
      <c r="F101" s="190" t="s">
        <v>202</v>
      </c>
      <c r="G101" s="190" t="s">
        <v>202</v>
      </c>
      <c r="H101" s="191">
        <v>30</v>
      </c>
      <c r="I101" s="192">
        <v>125</v>
      </c>
      <c r="J101" s="190" t="s">
        <v>171</v>
      </c>
      <c r="K101" s="191"/>
      <c r="L101" s="191"/>
      <c r="M101" s="191"/>
      <c r="N101" s="192">
        <v>3750</v>
      </c>
      <c r="O101" s="191"/>
      <c r="P101" s="191"/>
      <c r="Q101" s="191"/>
      <c r="R101" s="191"/>
      <c r="S101" s="191"/>
      <c r="T101" s="191"/>
      <c r="U101" s="191"/>
      <c r="V101" s="196" t="s">
        <v>179</v>
      </c>
      <c r="W101" s="191"/>
    </row>
    <row r="102" spans="1:23" s="193" customFormat="1" x14ac:dyDescent="0.3">
      <c r="A102" s="189">
        <v>46091</v>
      </c>
      <c r="B102" s="190" t="s">
        <v>205</v>
      </c>
      <c r="C102" s="190">
        <v>390</v>
      </c>
      <c r="D102" s="190" t="s">
        <v>176</v>
      </c>
      <c r="E102" s="191">
        <v>600723602</v>
      </c>
      <c r="F102" s="190" t="s">
        <v>178</v>
      </c>
      <c r="G102" s="190" t="s">
        <v>178</v>
      </c>
      <c r="H102" s="191">
        <v>9000</v>
      </c>
      <c r="I102" s="192">
        <v>109</v>
      </c>
      <c r="J102" s="190" t="s">
        <v>172</v>
      </c>
      <c r="K102" s="192">
        <v>981000</v>
      </c>
      <c r="L102" s="192">
        <v>127530</v>
      </c>
      <c r="M102" s="192">
        <v>1108530</v>
      </c>
      <c r="N102" s="191"/>
      <c r="O102" s="191"/>
      <c r="P102" s="191"/>
      <c r="Q102" s="191"/>
      <c r="R102" s="191"/>
      <c r="S102" s="191"/>
      <c r="T102" s="191"/>
      <c r="U102" s="191"/>
      <c r="V102" s="196" t="s">
        <v>179</v>
      </c>
      <c r="W102" s="191"/>
    </row>
    <row r="103" spans="1:23" s="193" customFormat="1" x14ac:dyDescent="0.3">
      <c r="A103" s="189">
        <v>46115</v>
      </c>
      <c r="B103" s="190" t="s">
        <v>227</v>
      </c>
      <c r="C103" s="190">
        <v>424</v>
      </c>
      <c r="D103" s="190" t="s">
        <v>176</v>
      </c>
      <c r="E103" s="191">
        <v>600723602</v>
      </c>
      <c r="F103" s="190" t="s">
        <v>178</v>
      </c>
      <c r="G103" s="190" t="s">
        <v>178</v>
      </c>
      <c r="H103" s="191">
        <v>12000</v>
      </c>
      <c r="I103" s="192">
        <v>115</v>
      </c>
      <c r="J103" s="190" t="s">
        <v>172</v>
      </c>
      <c r="K103" s="192">
        <v>1380000</v>
      </c>
      <c r="L103" s="192">
        <v>179400</v>
      </c>
      <c r="M103" s="192">
        <v>1559400</v>
      </c>
      <c r="N103" s="191"/>
      <c r="O103" s="191"/>
      <c r="P103" s="191"/>
      <c r="Q103" s="191"/>
      <c r="R103" s="191"/>
      <c r="S103" s="191"/>
      <c r="T103" s="191"/>
      <c r="U103" s="191"/>
      <c r="V103" s="196" t="s">
        <v>179</v>
      </c>
      <c r="W103" s="191"/>
    </row>
    <row r="104" spans="1:23" x14ac:dyDescent="0.3">
      <c r="A104" s="56"/>
      <c r="B104" s="58"/>
      <c r="C104" s="58"/>
      <c r="D104" s="58"/>
      <c r="E104" s="57"/>
      <c r="F104" s="58"/>
      <c r="G104" s="58"/>
      <c r="H104" s="57"/>
      <c r="I104" s="59"/>
      <c r="J104" s="58"/>
      <c r="K104" s="57"/>
      <c r="L104" s="57"/>
      <c r="M104" s="57"/>
      <c r="N104" s="59"/>
      <c r="O104" s="57"/>
      <c r="P104" s="57"/>
      <c r="Q104" s="57"/>
      <c r="R104" s="57"/>
      <c r="S104" s="57"/>
      <c r="T104" s="57"/>
      <c r="U104" s="57"/>
      <c r="V104" s="65"/>
      <c r="W104" s="57"/>
    </row>
  </sheetData>
  <autoFilter ref="A1:AB103" xr:uid="{7AB05D75-4C57-4638-B777-E0CDB3773F68}"/>
  <printOptions horizontalCentered="1"/>
  <pageMargins left="0.4" right="0.4" top="0.5" bottom="0.5" header="0.3" footer="0.3"/>
  <pageSetup paperSize="9" scale="45" fitToHeight="0" orientation="landscape" verticalDpi="0" r:id="rId1"/>
  <headerFooter>
    <oddHeader>&amp;L&amp;B&amp;14Ganesh Tel Mill&amp;R&amp;B&amp;12PAN: 604141622</oddHeader>
    <oddFooter>&amp;L&amp;10Prepared by: Suresh Sharma&amp;C&amp;10Page &amp;P of &amp;N&amp;R&amp;10Tel: 9851135421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834AD-C38C-4BB1-80D5-18CA0C8E8C1C}">
  <sheetPr codeName="Sheet11">
    <tabColor rgb="FF002060"/>
    <pageSetUpPr fitToPage="1"/>
  </sheetPr>
  <dimension ref="A1:W10"/>
  <sheetViews>
    <sheetView showGridLines="0" zoomScale="88" zoomScaleNormal="100" workbookViewId="0">
      <selection activeCell="K25" sqref="K25"/>
    </sheetView>
  </sheetViews>
  <sheetFormatPr defaultRowHeight="14" x14ac:dyDescent="0.3"/>
  <cols>
    <col min="1" max="1" width="12.26953125" style="43" customWidth="1"/>
    <col min="2" max="2" width="10.26953125" style="8" customWidth="1"/>
    <col min="3" max="3" width="8.6328125" style="9" customWidth="1"/>
    <col min="4" max="4" width="14.26953125" style="9" customWidth="1"/>
    <col min="5" max="5" width="13.1796875" style="9" customWidth="1"/>
    <col min="6" max="6" width="14.54296875" style="9" customWidth="1"/>
    <col min="7" max="7" width="14.453125" style="9" customWidth="1"/>
    <col min="8" max="8" width="7.1796875" style="9" customWidth="1"/>
    <col min="9" max="9" width="11.90625" style="9" customWidth="1"/>
    <col min="10" max="10" width="7.90625" style="9" customWidth="1"/>
    <col min="11" max="11" width="13" style="9" bestFit="1" customWidth="1"/>
    <col min="12" max="12" width="11.453125" style="9" bestFit="1" customWidth="1"/>
    <col min="13" max="13" width="13.08984375" style="9" customWidth="1"/>
    <col min="14" max="14" width="12.453125" style="9" customWidth="1"/>
    <col min="15" max="15" width="13.08984375" style="9" customWidth="1"/>
    <col min="16" max="16" width="8.7265625" style="9"/>
    <col min="17" max="17" width="10.81640625" style="9" bestFit="1" customWidth="1"/>
    <col min="18" max="18" width="13.08984375" style="9" customWidth="1"/>
    <col min="19" max="19" width="10.36328125" style="9" bestFit="1" customWidth="1"/>
    <col min="20" max="20" width="11.26953125" style="9" customWidth="1"/>
    <col min="21" max="21" width="14.90625" style="9" customWidth="1"/>
    <col min="22" max="22" width="15.6328125" style="9" customWidth="1"/>
    <col min="23" max="23" width="11.26953125" style="9" customWidth="1"/>
    <col min="24" max="16384" width="8.7265625" style="2"/>
  </cols>
  <sheetData>
    <row r="1" spans="1:23" s="61" customFormat="1" ht="38" customHeight="1" x14ac:dyDescent="0.35">
      <c r="A1" s="60" t="s">
        <v>16</v>
      </c>
      <c r="B1" s="60" t="s">
        <v>50</v>
      </c>
      <c r="C1" s="60" t="s">
        <v>40</v>
      </c>
      <c r="D1" s="60" t="s">
        <v>64</v>
      </c>
      <c r="E1" s="60" t="s">
        <v>65</v>
      </c>
      <c r="F1" s="60" t="s">
        <v>43</v>
      </c>
      <c r="G1" s="60" t="s">
        <v>44</v>
      </c>
      <c r="H1" s="60" t="s">
        <v>51</v>
      </c>
      <c r="I1" s="60" t="s">
        <v>52</v>
      </c>
      <c r="J1" s="60" t="s">
        <v>53</v>
      </c>
      <c r="K1" s="60" t="s">
        <v>54</v>
      </c>
      <c r="L1" s="60" t="s">
        <v>55</v>
      </c>
      <c r="M1" s="60" t="s">
        <v>56</v>
      </c>
      <c r="N1" s="60" t="s">
        <v>57</v>
      </c>
      <c r="O1" s="60" t="s">
        <v>129</v>
      </c>
      <c r="P1" s="60" t="s">
        <v>62</v>
      </c>
      <c r="Q1" s="60" t="s">
        <v>63</v>
      </c>
      <c r="R1" s="60" t="s">
        <v>59</v>
      </c>
      <c r="S1" s="60" t="s">
        <v>60</v>
      </c>
      <c r="T1" s="60" t="s">
        <v>61</v>
      </c>
      <c r="U1" s="60" t="s">
        <v>134</v>
      </c>
      <c r="V1" s="60" t="s">
        <v>146</v>
      </c>
      <c r="W1" s="60" t="s">
        <v>147</v>
      </c>
    </row>
    <row r="2" spans="1:23" s="4" customFormat="1" x14ac:dyDescent="0.3">
      <c r="A2" s="64">
        <v>45885</v>
      </c>
      <c r="B2" s="58" t="s">
        <v>180</v>
      </c>
      <c r="C2" s="65" t="s">
        <v>436</v>
      </c>
      <c r="D2" s="65" t="s">
        <v>438</v>
      </c>
      <c r="E2" s="65" t="s">
        <v>439</v>
      </c>
      <c r="F2" s="65" t="s">
        <v>409</v>
      </c>
      <c r="G2" s="65" t="s">
        <v>409</v>
      </c>
      <c r="H2" s="65">
        <v>4350</v>
      </c>
      <c r="I2" s="66">
        <v>300.88495632183907</v>
      </c>
      <c r="J2" s="65" t="s">
        <v>172</v>
      </c>
      <c r="K2" s="66">
        <v>1308849.56</v>
      </c>
      <c r="L2" s="66">
        <v>170150.44280000002</v>
      </c>
      <c r="M2" s="66">
        <v>1479000.0028000001</v>
      </c>
      <c r="N2" s="65"/>
      <c r="O2" s="65"/>
      <c r="P2" s="65"/>
      <c r="Q2" s="65"/>
      <c r="R2" s="65"/>
      <c r="S2" s="65"/>
      <c r="T2" s="65"/>
      <c r="U2" s="65"/>
      <c r="V2" s="65" t="s">
        <v>440</v>
      </c>
      <c r="W2" s="65"/>
    </row>
    <row r="3" spans="1:23" s="4" customFormat="1" x14ac:dyDescent="0.3">
      <c r="A3" s="64">
        <v>45916</v>
      </c>
      <c r="B3" s="58" t="s">
        <v>185</v>
      </c>
      <c r="C3" s="65" t="s">
        <v>441</v>
      </c>
      <c r="D3" s="65" t="s">
        <v>438</v>
      </c>
      <c r="E3" s="65" t="s">
        <v>442</v>
      </c>
      <c r="F3" s="65" t="s">
        <v>409</v>
      </c>
      <c r="G3" s="65" t="s">
        <v>409</v>
      </c>
      <c r="H3" s="65">
        <v>3445</v>
      </c>
      <c r="I3" s="66">
        <v>300.88495500725691</v>
      </c>
      <c r="J3" s="65" t="s">
        <v>172</v>
      </c>
      <c r="K3" s="66">
        <v>1036548.67</v>
      </c>
      <c r="L3" s="66">
        <v>134751.32710000002</v>
      </c>
      <c r="M3" s="66">
        <v>1171299.9971</v>
      </c>
      <c r="N3" s="65"/>
      <c r="O3" s="65"/>
      <c r="P3" s="65"/>
      <c r="Q3" s="65"/>
      <c r="R3" s="65"/>
      <c r="S3" s="65"/>
      <c r="T3" s="65"/>
      <c r="U3" s="65"/>
      <c r="V3" s="65" t="s">
        <v>440</v>
      </c>
      <c r="W3" s="65"/>
    </row>
    <row r="4" spans="1:23" s="4" customFormat="1" x14ac:dyDescent="0.3">
      <c r="A4" s="64">
        <v>45947</v>
      </c>
      <c r="B4" s="58" t="s">
        <v>183</v>
      </c>
      <c r="C4" s="65" t="s">
        <v>443</v>
      </c>
      <c r="D4" s="65" t="s">
        <v>438</v>
      </c>
      <c r="E4" s="65" t="s">
        <v>444</v>
      </c>
      <c r="F4" s="65" t="s">
        <v>409</v>
      </c>
      <c r="G4" s="65" t="s">
        <v>409</v>
      </c>
      <c r="H4" s="65">
        <v>2313</v>
      </c>
      <c r="I4" s="66">
        <v>300.88495460440987</v>
      </c>
      <c r="J4" s="65" t="s">
        <v>172</v>
      </c>
      <c r="K4" s="66">
        <v>695946.9</v>
      </c>
      <c r="L4" s="66">
        <v>90473.097000000009</v>
      </c>
      <c r="M4" s="66">
        <v>786419.99699999997</v>
      </c>
      <c r="N4" s="65"/>
      <c r="O4" s="65"/>
      <c r="P4" s="65"/>
      <c r="Q4" s="65"/>
      <c r="R4" s="65"/>
      <c r="S4" s="65"/>
      <c r="T4" s="65"/>
      <c r="U4" s="65"/>
      <c r="V4" s="65" t="s">
        <v>440</v>
      </c>
      <c r="W4" s="65"/>
    </row>
    <row r="5" spans="1:23" x14ac:dyDescent="0.3">
      <c r="A5" s="56">
        <v>45977</v>
      </c>
      <c r="B5" s="58" t="s">
        <v>206</v>
      </c>
      <c r="C5" s="65" t="s">
        <v>445</v>
      </c>
      <c r="D5" s="65" t="s">
        <v>438</v>
      </c>
      <c r="E5" s="65" t="s">
        <v>446</v>
      </c>
      <c r="F5" s="65" t="s">
        <v>409</v>
      </c>
      <c r="G5" s="65" t="s">
        <v>409</v>
      </c>
      <c r="H5" s="65">
        <v>4503</v>
      </c>
      <c r="I5" s="66">
        <v>300.88495669553629</v>
      </c>
      <c r="J5" s="65" t="s">
        <v>172</v>
      </c>
      <c r="K5" s="66">
        <v>1354884.96</v>
      </c>
      <c r="L5" s="66">
        <v>176135.0448</v>
      </c>
      <c r="M5" s="66">
        <v>1531020.0048</v>
      </c>
      <c r="N5" s="65"/>
      <c r="O5" s="65"/>
      <c r="P5" s="65"/>
      <c r="Q5" s="65"/>
      <c r="R5" s="65"/>
      <c r="S5" s="65"/>
      <c r="T5" s="65"/>
      <c r="U5" s="65"/>
      <c r="V5" s="65" t="s">
        <v>440</v>
      </c>
      <c r="W5" s="65"/>
    </row>
    <row r="6" spans="1:23" x14ac:dyDescent="0.3">
      <c r="A6" s="56">
        <v>46006</v>
      </c>
      <c r="B6" s="58" t="s">
        <v>184</v>
      </c>
      <c r="C6" s="65" t="s">
        <v>447</v>
      </c>
      <c r="D6" s="65" t="s">
        <v>438</v>
      </c>
      <c r="E6" s="65" t="s">
        <v>448</v>
      </c>
      <c r="F6" s="65" t="s">
        <v>409</v>
      </c>
      <c r="G6" s="65" t="s">
        <v>409</v>
      </c>
      <c r="H6" s="65">
        <v>4752</v>
      </c>
      <c r="I6" s="66">
        <v>300.8849558080808</v>
      </c>
      <c r="J6" s="65" t="s">
        <v>172</v>
      </c>
      <c r="K6" s="66">
        <v>1429805.31</v>
      </c>
      <c r="L6" s="66">
        <v>185874.69030000002</v>
      </c>
      <c r="M6" s="66">
        <v>1615680.0003</v>
      </c>
      <c r="N6" s="65"/>
      <c r="O6" s="65"/>
      <c r="P6" s="65"/>
      <c r="Q6" s="66"/>
      <c r="R6" s="66"/>
      <c r="S6" s="66"/>
      <c r="T6" s="66"/>
      <c r="U6" s="66"/>
      <c r="V6" s="66" t="s">
        <v>440</v>
      </c>
      <c r="W6" s="66"/>
    </row>
    <row r="7" spans="1:23" x14ac:dyDescent="0.3">
      <c r="A7" s="56">
        <v>46036</v>
      </c>
      <c r="B7" s="58" t="s">
        <v>177</v>
      </c>
      <c r="C7" s="65" t="s">
        <v>449</v>
      </c>
      <c r="D7" s="65" t="s">
        <v>438</v>
      </c>
      <c r="E7" s="65" t="s">
        <v>450</v>
      </c>
      <c r="F7" s="65" t="s">
        <v>409</v>
      </c>
      <c r="G7" s="65" t="s">
        <v>409</v>
      </c>
      <c r="H7" s="65">
        <v>2606</v>
      </c>
      <c r="I7" s="66">
        <v>300.8849539524175</v>
      </c>
      <c r="J7" s="65" t="s">
        <v>172</v>
      </c>
      <c r="K7" s="66">
        <v>784106.19</v>
      </c>
      <c r="L7" s="66">
        <v>101933.80469999999</v>
      </c>
      <c r="M7" s="66">
        <v>886039.99469999992</v>
      </c>
      <c r="N7" s="65"/>
      <c r="O7" s="65"/>
      <c r="P7" s="65"/>
      <c r="Q7" s="66"/>
      <c r="R7" s="66"/>
      <c r="S7" s="66"/>
      <c r="T7" s="66"/>
      <c r="U7" s="66"/>
      <c r="V7" s="66" t="s">
        <v>440</v>
      </c>
      <c r="W7" s="66"/>
    </row>
    <row r="8" spans="1:23" x14ac:dyDescent="0.3">
      <c r="A8" s="56">
        <v>46065</v>
      </c>
      <c r="B8" s="58" t="s">
        <v>186</v>
      </c>
      <c r="C8" s="65" t="s">
        <v>451</v>
      </c>
      <c r="D8" s="65" t="s">
        <v>438</v>
      </c>
      <c r="E8" s="65" t="s">
        <v>452</v>
      </c>
      <c r="F8" s="65" t="s">
        <v>409</v>
      </c>
      <c r="G8" s="65" t="s">
        <v>409</v>
      </c>
      <c r="H8" s="65">
        <v>7124</v>
      </c>
      <c r="I8" s="66">
        <v>300.88495508141494</v>
      </c>
      <c r="J8" s="65" t="s">
        <v>172</v>
      </c>
      <c r="K8" s="66">
        <v>2143504.42</v>
      </c>
      <c r="L8" s="66">
        <v>278655.57459999999</v>
      </c>
      <c r="M8" s="66">
        <v>2422159.9945999999</v>
      </c>
      <c r="N8" s="65"/>
      <c r="O8" s="65"/>
      <c r="P8" s="65"/>
      <c r="Q8" s="65"/>
      <c r="R8" s="65"/>
      <c r="S8" s="65"/>
      <c r="T8" s="65"/>
      <c r="U8" s="65"/>
      <c r="V8" s="65" t="s">
        <v>440</v>
      </c>
      <c r="W8" s="65"/>
    </row>
    <row r="9" spans="1:23" x14ac:dyDescent="0.3">
      <c r="A9" s="56">
        <v>46095</v>
      </c>
      <c r="B9" s="58" t="s">
        <v>205</v>
      </c>
      <c r="C9" s="65" t="s">
        <v>453</v>
      </c>
      <c r="D9" s="65" t="s">
        <v>438</v>
      </c>
      <c r="E9" s="65" t="s">
        <v>454</v>
      </c>
      <c r="F9" s="65" t="s">
        <v>409</v>
      </c>
      <c r="G9" s="65" t="s">
        <v>409</v>
      </c>
      <c r="H9" s="65">
        <v>2076</v>
      </c>
      <c r="I9" s="66">
        <v>300.88495664739884</v>
      </c>
      <c r="J9" s="65" t="s">
        <v>172</v>
      </c>
      <c r="K9" s="66">
        <v>624637.17000000004</v>
      </c>
      <c r="L9" s="66">
        <v>81202.832100000014</v>
      </c>
      <c r="M9" s="66">
        <v>705840.00210000004</v>
      </c>
      <c r="N9" s="65"/>
      <c r="O9" s="65"/>
      <c r="P9" s="65"/>
      <c r="Q9" s="65"/>
      <c r="R9" s="65"/>
      <c r="S9" s="65"/>
      <c r="T9" s="65"/>
      <c r="U9" s="65"/>
      <c r="V9" s="65" t="s">
        <v>440</v>
      </c>
      <c r="W9" s="65"/>
    </row>
    <row r="10" spans="1:23" x14ac:dyDescent="0.3">
      <c r="A10" s="56">
        <v>46125</v>
      </c>
      <c r="B10" s="58" t="s">
        <v>227</v>
      </c>
      <c r="C10" s="65" t="s">
        <v>455</v>
      </c>
      <c r="D10" s="65" t="s">
        <v>438</v>
      </c>
      <c r="E10" s="65" t="s">
        <v>456</v>
      </c>
      <c r="F10" s="65" t="s">
        <v>409</v>
      </c>
      <c r="G10" s="65" t="s">
        <v>409</v>
      </c>
      <c r="H10" s="65">
        <v>1840</v>
      </c>
      <c r="I10" s="66">
        <v>300.88495652173913</v>
      </c>
      <c r="J10" s="65" t="s">
        <v>172</v>
      </c>
      <c r="K10" s="66">
        <v>553628.31999999995</v>
      </c>
      <c r="L10" s="66">
        <v>71971.681599999996</v>
      </c>
      <c r="M10" s="66">
        <v>625600.00159999996</v>
      </c>
      <c r="N10" s="65"/>
      <c r="O10" s="65"/>
      <c r="P10" s="65"/>
      <c r="Q10" s="65"/>
      <c r="R10" s="65"/>
      <c r="S10" s="65"/>
      <c r="T10" s="65"/>
      <c r="U10" s="65"/>
      <c r="V10" s="65" t="s">
        <v>440</v>
      </c>
      <c r="W10" s="65"/>
    </row>
  </sheetData>
  <printOptions horizontalCentered="1"/>
  <pageMargins left="0.4" right="0.4" top="0.5" bottom="0.5" header="0.3" footer="0.3"/>
  <pageSetup paperSize="9" scale="50" fitToHeight="0" orientation="landscape" verticalDpi="0" r:id="rId1"/>
  <headerFooter>
    <oddHeader>&amp;L&amp;B&amp;14Ganesh Tel Mill&amp;R&amp;B&amp;12PAN: 604141622</oddHeader>
    <oddFooter>&amp;L&amp;10Prepared by: Suresh Sharma&amp;C&amp;10Page &amp;P of &amp;N&amp;R&amp;10Tel: 9851135421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8D5A6-0110-4E6A-885B-647759D36A64}">
  <sheetPr codeName="Sheet12">
    <tabColor rgb="FF002060"/>
    <pageSetUpPr fitToPage="1"/>
  </sheetPr>
  <dimension ref="A1:M20"/>
  <sheetViews>
    <sheetView showGridLines="0" view="pageBreakPreview" zoomScale="64" zoomScaleNormal="79" zoomScaleSheetLayoutView="61" workbookViewId="0">
      <pane ySplit="5" topLeftCell="A6" activePane="bottomLeft" state="frozen"/>
      <selection pane="bottomLeft" sqref="A1:L1"/>
    </sheetView>
  </sheetViews>
  <sheetFormatPr defaultRowHeight="14.5" x14ac:dyDescent="0.35"/>
  <cols>
    <col min="1" max="1" width="26.6328125" style="26" customWidth="1"/>
    <col min="2" max="3" width="16.6328125" style="26" customWidth="1"/>
    <col min="4" max="6" width="18.6328125" style="26" customWidth="1"/>
    <col min="7" max="7" width="26.6328125" style="26" customWidth="1"/>
    <col min="8" max="9" width="16.6328125" style="26" customWidth="1"/>
    <col min="10" max="12" width="18.6328125" style="26" customWidth="1"/>
    <col min="13" max="13" width="44.6328125" style="26" customWidth="1"/>
    <col min="14" max="16384" width="8.7265625" style="26"/>
  </cols>
  <sheetData>
    <row r="1" spans="1:12" ht="34" customHeight="1" x14ac:dyDescent="0.35">
      <c r="A1" s="242" t="s">
        <v>119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</row>
    <row r="2" spans="1:12" ht="22" customHeight="1" x14ac:dyDescent="0.35">
      <c r="A2" s="28" t="s">
        <v>120</v>
      </c>
      <c r="B2" s="243" t="s">
        <v>558</v>
      </c>
      <c r="C2" s="243"/>
      <c r="D2" s="243"/>
      <c r="E2" s="28" t="s">
        <v>122</v>
      </c>
      <c r="F2" s="37">
        <v>0</v>
      </c>
    </row>
    <row r="3" spans="1:12" ht="6" customHeight="1" x14ac:dyDescent="0.35"/>
    <row r="4" spans="1:12" ht="26" customHeight="1" x14ac:dyDescent="0.35">
      <c r="A4" s="244" t="s">
        <v>140</v>
      </c>
      <c r="B4" s="244"/>
      <c r="C4" s="244"/>
      <c r="D4" s="244"/>
      <c r="E4" s="244"/>
      <c r="F4" s="245"/>
      <c r="G4" s="246" t="s">
        <v>141</v>
      </c>
      <c r="H4" s="246"/>
      <c r="I4" s="246"/>
      <c r="J4" s="246"/>
      <c r="K4" s="246"/>
      <c r="L4" s="246"/>
    </row>
    <row r="5" spans="1:12" ht="36" customHeight="1" x14ac:dyDescent="0.35">
      <c r="A5" s="38" t="s">
        <v>41</v>
      </c>
      <c r="B5" s="38" t="s">
        <v>42</v>
      </c>
      <c r="C5" s="38" t="s">
        <v>54</v>
      </c>
      <c r="D5" s="38" t="s">
        <v>59</v>
      </c>
      <c r="E5" s="38" t="s">
        <v>142</v>
      </c>
      <c r="F5" s="40" t="s">
        <v>57</v>
      </c>
      <c r="G5" s="42" t="s">
        <v>64</v>
      </c>
      <c r="H5" s="41" t="s">
        <v>65</v>
      </c>
      <c r="I5" s="41" t="s">
        <v>54</v>
      </c>
      <c r="J5" s="41" t="s">
        <v>59</v>
      </c>
      <c r="K5" s="41" t="s">
        <v>142</v>
      </c>
      <c r="L5" s="41" t="s">
        <v>57</v>
      </c>
    </row>
    <row r="6" spans="1:12" ht="18" customHeight="1" x14ac:dyDescent="0.35">
      <c r="A6" s="48" t="s">
        <v>176</v>
      </c>
      <c r="B6" s="48">
        <v>600723602</v>
      </c>
      <c r="C6" s="49">
        <v>11358425</v>
      </c>
      <c r="D6" s="49">
        <v>0</v>
      </c>
      <c r="E6" s="49">
        <v>1476595.25</v>
      </c>
      <c r="F6" s="53">
        <v>81900</v>
      </c>
      <c r="G6" s="178" t="s">
        <v>438</v>
      </c>
      <c r="H6" s="176" t="s">
        <v>439</v>
      </c>
      <c r="I6" s="177">
        <v>1308849.56</v>
      </c>
      <c r="J6" s="177">
        <v>0</v>
      </c>
      <c r="K6" s="177">
        <v>170150.44280000002</v>
      </c>
      <c r="L6" s="177">
        <v>0</v>
      </c>
    </row>
    <row r="7" spans="1:12" ht="18" customHeight="1" x14ac:dyDescent="0.35">
      <c r="A7" s="249" t="s">
        <v>181</v>
      </c>
      <c r="B7" s="249">
        <v>303588188</v>
      </c>
      <c r="C7" s="250">
        <v>695400</v>
      </c>
      <c r="D7" s="250">
        <v>0</v>
      </c>
      <c r="E7" s="250">
        <v>90402</v>
      </c>
      <c r="F7" s="252">
        <v>0</v>
      </c>
      <c r="G7" s="255" t="s">
        <v>438</v>
      </c>
      <c r="H7" s="253" t="s">
        <v>442</v>
      </c>
      <c r="I7" s="254">
        <v>1036548.67</v>
      </c>
      <c r="J7" s="254">
        <v>0</v>
      </c>
      <c r="K7" s="254">
        <v>134751.32710000002</v>
      </c>
      <c r="L7" s="254">
        <v>0</v>
      </c>
    </row>
    <row r="8" spans="1:12" ht="18" customHeight="1" x14ac:dyDescent="0.35">
      <c r="A8" s="48" t="s">
        <v>187</v>
      </c>
      <c r="B8" s="48">
        <v>303522140</v>
      </c>
      <c r="C8" s="49">
        <v>0</v>
      </c>
      <c r="D8" s="49">
        <v>0</v>
      </c>
      <c r="E8" s="49">
        <v>0</v>
      </c>
      <c r="F8" s="53">
        <v>272740</v>
      </c>
      <c r="G8" s="178" t="s">
        <v>438</v>
      </c>
      <c r="H8" s="176" t="s">
        <v>444</v>
      </c>
      <c r="I8" s="177">
        <v>695946.9</v>
      </c>
      <c r="J8" s="177">
        <v>0</v>
      </c>
      <c r="K8" s="177">
        <v>90473.097000000009</v>
      </c>
      <c r="L8" s="177">
        <v>0</v>
      </c>
    </row>
    <row r="9" spans="1:12" ht="18" customHeight="1" x14ac:dyDescent="0.35">
      <c r="A9" s="249" t="s">
        <v>207</v>
      </c>
      <c r="B9" s="249">
        <v>615707857</v>
      </c>
      <c r="C9" s="250">
        <v>85640</v>
      </c>
      <c r="D9" s="250">
        <v>0</v>
      </c>
      <c r="E9" s="250">
        <v>11133.2</v>
      </c>
      <c r="F9" s="252">
        <v>0</v>
      </c>
      <c r="G9" s="255" t="s">
        <v>438</v>
      </c>
      <c r="H9" s="253" t="s">
        <v>446</v>
      </c>
      <c r="I9" s="254">
        <v>1354884.96</v>
      </c>
      <c r="J9" s="254">
        <v>0</v>
      </c>
      <c r="K9" s="254">
        <v>176135.0448</v>
      </c>
      <c r="L9" s="254">
        <v>0</v>
      </c>
    </row>
    <row r="10" spans="1:12" ht="18" customHeight="1" x14ac:dyDescent="0.35">
      <c r="A10" s="48" t="s">
        <v>225</v>
      </c>
      <c r="B10" s="48" t="s">
        <v>226</v>
      </c>
      <c r="C10" s="49">
        <v>0</v>
      </c>
      <c r="D10" s="49">
        <v>0</v>
      </c>
      <c r="E10" s="49">
        <v>0</v>
      </c>
      <c r="F10" s="53">
        <v>186295.5</v>
      </c>
      <c r="G10" s="178" t="s">
        <v>438</v>
      </c>
      <c r="H10" s="176" t="s">
        <v>448</v>
      </c>
      <c r="I10" s="177">
        <v>1429805.31</v>
      </c>
      <c r="J10" s="177">
        <v>0</v>
      </c>
      <c r="K10" s="177">
        <v>185874.69030000002</v>
      </c>
      <c r="L10" s="177">
        <v>0</v>
      </c>
    </row>
    <row r="11" spans="1:12" ht="18" customHeight="1" x14ac:dyDescent="0.35">
      <c r="A11" s="249" t="s">
        <v>225</v>
      </c>
      <c r="B11" s="249" t="s">
        <v>229</v>
      </c>
      <c r="C11" s="250">
        <v>0</v>
      </c>
      <c r="D11" s="250">
        <v>0</v>
      </c>
      <c r="E11" s="250">
        <v>0</v>
      </c>
      <c r="F11" s="252">
        <v>130490</v>
      </c>
      <c r="G11" s="255" t="s">
        <v>438</v>
      </c>
      <c r="H11" s="253" t="s">
        <v>450</v>
      </c>
      <c r="I11" s="254">
        <v>784106.19</v>
      </c>
      <c r="J11" s="254">
        <v>0</v>
      </c>
      <c r="K11" s="254">
        <v>101933.80469999999</v>
      </c>
      <c r="L11" s="254">
        <v>0</v>
      </c>
    </row>
    <row r="12" spans="1:12" ht="18" customHeight="1" x14ac:dyDescent="0.35">
      <c r="A12" s="48" t="s">
        <v>225</v>
      </c>
      <c r="B12" s="48" t="s">
        <v>236</v>
      </c>
      <c r="C12" s="49">
        <v>0</v>
      </c>
      <c r="D12" s="49">
        <v>0</v>
      </c>
      <c r="E12" s="49">
        <v>0</v>
      </c>
      <c r="F12" s="53">
        <v>179417</v>
      </c>
      <c r="G12" s="178" t="s">
        <v>438</v>
      </c>
      <c r="H12" s="176" t="s">
        <v>452</v>
      </c>
      <c r="I12" s="177">
        <v>2143504.42</v>
      </c>
      <c r="J12" s="177">
        <v>0</v>
      </c>
      <c r="K12" s="177">
        <v>278655.57459999999</v>
      </c>
      <c r="L12" s="177">
        <v>0</v>
      </c>
    </row>
    <row r="13" spans="1:12" ht="18" customHeight="1" x14ac:dyDescent="0.35">
      <c r="A13" s="249" t="s">
        <v>245</v>
      </c>
      <c r="B13" s="249">
        <v>616481143</v>
      </c>
      <c r="C13" s="250">
        <v>0</v>
      </c>
      <c r="D13" s="250">
        <v>0</v>
      </c>
      <c r="E13" s="250">
        <v>0</v>
      </c>
      <c r="F13" s="252">
        <v>105710</v>
      </c>
      <c r="G13" s="255" t="s">
        <v>438</v>
      </c>
      <c r="H13" s="253" t="s">
        <v>454</v>
      </c>
      <c r="I13" s="254">
        <v>624637.17000000004</v>
      </c>
      <c r="J13" s="254">
        <v>0</v>
      </c>
      <c r="K13" s="254">
        <v>81202.832100000014</v>
      </c>
      <c r="L13" s="254">
        <v>0</v>
      </c>
    </row>
    <row r="14" spans="1:12" ht="18" customHeight="1" x14ac:dyDescent="0.35">
      <c r="A14" s="251"/>
      <c r="B14" s="251"/>
      <c r="C14" s="251"/>
      <c r="D14" s="251"/>
      <c r="E14" s="251"/>
      <c r="F14" s="256"/>
      <c r="G14" s="178" t="s">
        <v>438</v>
      </c>
      <c r="H14" s="176" t="s">
        <v>456</v>
      </c>
      <c r="I14" s="177">
        <v>553628.31999999995</v>
      </c>
      <c r="J14" s="177">
        <v>0</v>
      </c>
      <c r="K14" s="177">
        <v>71971.681599999996</v>
      </c>
      <c r="L14" s="177">
        <v>0</v>
      </c>
    </row>
    <row r="15" spans="1:12" ht="22" customHeight="1" x14ac:dyDescent="0.35">
      <c r="A15" s="50" t="s">
        <v>115</v>
      </c>
      <c r="B15" s="39"/>
      <c r="C15" s="51">
        <f>SUM($C$6:$C$14)</f>
        <v>12139465</v>
      </c>
      <c r="D15" s="51">
        <f>SUM($D$6:$D$14)</f>
        <v>0</v>
      </c>
      <c r="E15" s="51">
        <f>SUM($E$6:$E$14)</f>
        <v>1578130.45</v>
      </c>
      <c r="F15" s="54">
        <f>SUM($F$6:$F$14)</f>
        <v>956552.5</v>
      </c>
      <c r="G15" s="52" t="s">
        <v>115</v>
      </c>
      <c r="H15" s="39"/>
      <c r="I15" s="51">
        <f>SUM($I$6:$I$14)</f>
        <v>9931911.5</v>
      </c>
      <c r="J15" s="51">
        <f>SUM($J$6:$J$14)</f>
        <v>0</v>
      </c>
      <c r="K15" s="51">
        <f>SUM($K$6:$K$14)</f>
        <v>1291148.4950000001</v>
      </c>
      <c r="L15" s="51">
        <f>SUM($L$6:$L$14)</f>
        <v>0</v>
      </c>
    </row>
    <row r="16" spans="1:12" ht="22" customHeight="1" x14ac:dyDescent="0.35"/>
    <row r="17" spans="1:13" ht="22" customHeight="1" x14ac:dyDescent="0.35">
      <c r="A17" s="247" t="s">
        <v>116</v>
      </c>
      <c r="B17" s="247"/>
      <c r="C17" s="247"/>
      <c r="D17" s="247"/>
      <c r="E17" s="247"/>
      <c r="F17" s="247"/>
      <c r="G17" s="247"/>
      <c r="H17" s="247"/>
      <c r="I17" s="247"/>
      <c r="J17" s="248">
        <f t="shared" ref="J17:L17" si="0">$K$15-$E$15</f>
        <v>-286981.95499999984</v>
      </c>
      <c r="K17" s="248"/>
      <c r="L17" s="248"/>
      <c r="M17" s="47" t="e">
        <f xml:space="preserve"> Output VAT Total  -  Input VAT Total</f>
        <v>#NAME?</v>
      </c>
    </row>
    <row r="18" spans="1:13" ht="22" customHeight="1" x14ac:dyDescent="0.35">
      <c r="A18" s="238" t="s">
        <v>117</v>
      </c>
      <c r="B18" s="238"/>
      <c r="C18" s="238"/>
      <c r="D18" s="238"/>
      <c r="E18" s="238"/>
      <c r="F18" s="238"/>
      <c r="G18" s="238"/>
      <c r="H18" s="238"/>
      <c r="I18" s="238"/>
      <c r="J18" s="239">
        <v>0</v>
      </c>
      <c r="K18" s="239"/>
      <c r="L18" s="239"/>
      <c r="M18" s="47" t="s">
        <v>121</v>
      </c>
    </row>
    <row r="19" spans="1:13" ht="22" customHeight="1" x14ac:dyDescent="0.35">
      <c r="A19" s="238" t="s">
        <v>118</v>
      </c>
      <c r="B19" s="238"/>
      <c r="C19" s="238"/>
      <c r="D19" s="238"/>
      <c r="E19" s="238"/>
      <c r="F19" s="238"/>
      <c r="G19" s="238"/>
      <c r="H19" s="238"/>
      <c r="I19" s="238"/>
      <c r="J19" s="239">
        <v>0</v>
      </c>
      <c r="K19" s="239"/>
      <c r="L19" s="239"/>
      <c r="M19" s="47" t="s">
        <v>123</v>
      </c>
    </row>
    <row r="20" spans="1:13" ht="26" customHeight="1" x14ac:dyDescent="0.4">
      <c r="A20" s="240" t="s">
        <v>124</v>
      </c>
      <c r="B20" s="240"/>
      <c r="C20" s="240"/>
      <c r="D20" s="240"/>
      <c r="E20" s="240"/>
      <c r="F20" s="240"/>
      <c r="G20" s="240"/>
      <c r="H20" s="240"/>
      <c r="I20" s="240"/>
      <c r="J20" s="241">
        <f t="shared" ref="J20:L20" si="1">$F$2+$J$17-$J$18-$J$19</f>
        <v>-286981.95499999984</v>
      </c>
      <c r="K20" s="241"/>
      <c r="L20" s="241"/>
      <c r="M20" s="47" t="e">
        <f xml:space="preserve"> Opening VAT + Payable - Paid - Adjustments</f>
        <v>#NAME?</v>
      </c>
    </row>
  </sheetData>
  <mergeCells count="12">
    <mergeCell ref="A19:I19"/>
    <mergeCell ref="J19:L19"/>
    <mergeCell ref="A20:I20"/>
    <mergeCell ref="J20:L20"/>
    <mergeCell ref="A17:I17"/>
    <mergeCell ref="J17:L17"/>
    <mergeCell ref="A18:I18"/>
    <mergeCell ref="J18:L18"/>
    <mergeCell ref="A1:L1"/>
    <mergeCell ref="B2:D2"/>
    <mergeCell ref="A4:F4"/>
    <mergeCell ref="G4:L4"/>
  </mergeCells>
  <printOptions horizontalCentered="1"/>
  <pageMargins left="0.4" right="0.4" top="0.5" bottom="0.5" header="0.3" footer="0.3"/>
  <pageSetup paperSize="9" scale="59" fitToHeight="0" orientation="landscape" verticalDpi="0" r:id="rId1"/>
  <headerFooter>
    <oddHeader>&amp;L&amp;B&amp;14Ganesh Tel Mill&amp;R&amp;B&amp;12PAN: 604141622</oddHeader>
    <oddFooter>&amp;L&amp;10Prepared by: Suresh Sharma&amp;C&amp;10Page &amp;P of &amp;N&amp;R&amp;10Tel: 9851135421</oddFooter>
  </headerFooter>
  <colBreaks count="1" manualBreakCount="1"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91" r:id="rId4" name="Button 3">
              <controlPr defaultSize="0" print="0" autoFill="0" autoPict="0" macro="[0]!BuildVATSummary">
                <anchor moveWithCells="1" sizeWithCells="1">
                  <from>
                    <xdr:col>0</xdr:col>
                    <xdr:colOff>1162050</xdr:colOff>
                    <xdr:row>0</xdr:row>
                    <xdr:rowOff>69850</xdr:rowOff>
                  </from>
                  <to>
                    <xdr:col>3</xdr:col>
                    <xdr:colOff>133350</xdr:colOff>
                    <xdr:row>0</xdr:row>
                    <xdr:rowOff>374650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BEAF8-7DE3-46D4-8A4C-F64267277606}">
  <sheetPr codeName="Sheet14">
    <tabColor rgb="FF002060"/>
    <pageSetUpPr fitToPage="1"/>
  </sheetPr>
  <dimension ref="A1:Q51"/>
  <sheetViews>
    <sheetView showGridLines="0" topLeftCell="E1" workbookViewId="0">
      <pane ySplit="3" topLeftCell="A4" activePane="bottomLeft" state="frozen"/>
      <selection pane="bottomLeft"/>
    </sheetView>
  </sheetViews>
  <sheetFormatPr defaultRowHeight="14.5" x14ac:dyDescent="0.35"/>
  <cols>
    <col min="1" max="1" width="25.54296875" bestFit="1" customWidth="1"/>
    <col min="2" max="2" width="11.26953125" bestFit="1" customWidth="1"/>
    <col min="3" max="3" width="8.36328125" bestFit="1" customWidth="1"/>
    <col min="4" max="4" width="11.453125" bestFit="1" customWidth="1"/>
    <col min="5" max="5" width="11.90625" bestFit="1" customWidth="1"/>
    <col min="6" max="6" width="8.54296875" bestFit="1" customWidth="1"/>
    <col min="7" max="7" width="15.81640625" bestFit="1" customWidth="1"/>
    <col min="8" max="8" width="13.1796875" bestFit="1" customWidth="1"/>
    <col min="9" max="9" width="9.6328125" bestFit="1" customWidth="1"/>
    <col min="10" max="10" width="15.6328125" bestFit="1" customWidth="1"/>
    <col min="11" max="11" width="9.7265625" bestFit="1" customWidth="1"/>
    <col min="12" max="12" width="12.08984375" bestFit="1" customWidth="1"/>
    <col min="13" max="13" width="10.1796875" bestFit="1" customWidth="1"/>
    <col min="14" max="14" width="8.36328125" bestFit="1" customWidth="1"/>
    <col min="15" max="15" width="14.08984375" bestFit="1" customWidth="1"/>
    <col min="16" max="16" width="9.81640625" bestFit="1" customWidth="1"/>
    <col min="17" max="17" width="13.36328125" bestFit="1" customWidth="1"/>
  </cols>
  <sheetData>
    <row r="1" spans="1:17" ht="22" customHeight="1" x14ac:dyDescent="0.35">
      <c r="A1" s="45" t="s">
        <v>104</v>
      </c>
      <c r="D1" s="11" t="s">
        <v>105</v>
      </c>
      <c r="E1" s="6">
        <v>45855</v>
      </c>
      <c r="G1" s="11" t="s">
        <v>106</v>
      </c>
      <c r="H1" s="6">
        <v>45916</v>
      </c>
    </row>
    <row r="2" spans="1:17" ht="17.5" customHeight="1" x14ac:dyDescent="0.35">
      <c r="A2" s="11"/>
      <c r="D2" s="11"/>
    </row>
    <row r="3" spans="1:17" ht="29" x14ac:dyDescent="0.35">
      <c r="A3" s="12" t="s">
        <v>44</v>
      </c>
      <c r="B3" s="12" t="s">
        <v>73</v>
      </c>
      <c r="C3" s="12" t="s">
        <v>71</v>
      </c>
      <c r="D3" s="12" t="s">
        <v>72</v>
      </c>
      <c r="E3" s="12" t="s">
        <v>107</v>
      </c>
      <c r="F3" s="12" t="s">
        <v>108</v>
      </c>
      <c r="G3" s="12" t="s">
        <v>109</v>
      </c>
      <c r="H3" s="12" t="s">
        <v>110</v>
      </c>
      <c r="I3" s="12" t="s">
        <v>111</v>
      </c>
      <c r="J3" s="12" t="s">
        <v>112</v>
      </c>
      <c r="K3" s="12" t="s">
        <v>113</v>
      </c>
      <c r="L3" s="12" t="s">
        <v>114</v>
      </c>
      <c r="M3" s="12" t="s">
        <v>74</v>
      </c>
      <c r="N3" s="12" t="s">
        <v>75</v>
      </c>
      <c r="O3" s="12" t="s">
        <v>76</v>
      </c>
    </row>
    <row r="4" spans="1:17" x14ac:dyDescent="0.35">
      <c r="A4" t="s">
        <v>204</v>
      </c>
      <c r="B4" s="14">
        <v>30</v>
      </c>
      <c r="C4" s="16">
        <v>272</v>
      </c>
      <c r="D4" s="14">
        <v>8160</v>
      </c>
      <c r="E4" s="14">
        <v>0</v>
      </c>
      <c r="F4" s="16">
        <v>0</v>
      </c>
      <c r="G4" s="14">
        <v>0</v>
      </c>
      <c r="H4" s="14">
        <v>0</v>
      </c>
      <c r="I4" s="14">
        <v>0</v>
      </c>
      <c r="J4" s="14">
        <v>0</v>
      </c>
      <c r="K4" s="16">
        <v>0</v>
      </c>
      <c r="L4" s="14">
        <v>0</v>
      </c>
      <c r="M4" s="14">
        <v>30</v>
      </c>
      <c r="N4" s="16">
        <v>272</v>
      </c>
      <c r="O4" s="14">
        <v>8160</v>
      </c>
    </row>
    <row r="5" spans="1:17" s="23" customFormat="1" x14ac:dyDescent="0.35">
      <c r="A5" s="34" t="s">
        <v>192</v>
      </c>
      <c r="B5" s="35">
        <v>30</v>
      </c>
      <c r="C5" s="36">
        <v>138</v>
      </c>
      <c r="D5" s="35">
        <v>4140</v>
      </c>
      <c r="E5" s="35">
        <v>0</v>
      </c>
      <c r="F5" s="36">
        <v>0</v>
      </c>
      <c r="G5" s="35">
        <v>0</v>
      </c>
      <c r="H5" s="35">
        <v>0</v>
      </c>
      <c r="I5" s="35">
        <v>0</v>
      </c>
      <c r="J5" s="35">
        <v>0</v>
      </c>
      <c r="K5" s="36">
        <v>0</v>
      </c>
      <c r="L5" s="35">
        <v>0</v>
      </c>
      <c r="M5" s="35">
        <v>30</v>
      </c>
      <c r="N5" s="36">
        <v>138</v>
      </c>
      <c r="O5" s="35">
        <v>4140</v>
      </c>
    </row>
    <row r="6" spans="1:17" s="23" customFormat="1" x14ac:dyDescent="0.35">
      <c r="A6" s="20" t="s">
        <v>193</v>
      </c>
      <c r="B6" s="21">
        <v>25</v>
      </c>
      <c r="C6" s="22">
        <v>143</v>
      </c>
      <c r="D6" s="21">
        <v>3575</v>
      </c>
      <c r="E6" s="21">
        <v>0</v>
      </c>
      <c r="F6" s="22">
        <v>0</v>
      </c>
      <c r="G6" s="21">
        <v>0</v>
      </c>
      <c r="H6" s="21">
        <v>0</v>
      </c>
      <c r="I6" s="21">
        <v>0</v>
      </c>
      <c r="J6" s="21">
        <v>0</v>
      </c>
      <c r="K6" s="22">
        <v>0</v>
      </c>
      <c r="L6" s="21">
        <v>0</v>
      </c>
      <c r="M6" s="21">
        <v>25</v>
      </c>
      <c r="N6" s="22">
        <v>143</v>
      </c>
      <c r="O6" s="21">
        <v>3575</v>
      </c>
    </row>
    <row r="7" spans="1:17" s="23" customFormat="1" x14ac:dyDescent="0.35">
      <c r="A7" s="34" t="s">
        <v>189</v>
      </c>
      <c r="B7" s="35">
        <v>30</v>
      </c>
      <c r="C7" s="36">
        <v>145</v>
      </c>
      <c r="D7" s="35">
        <v>4350</v>
      </c>
      <c r="E7" s="35">
        <v>0</v>
      </c>
      <c r="F7" s="36">
        <v>0</v>
      </c>
      <c r="G7" s="35">
        <v>0</v>
      </c>
      <c r="H7" s="35">
        <v>0</v>
      </c>
      <c r="I7" s="35">
        <v>0</v>
      </c>
      <c r="J7" s="35">
        <v>0</v>
      </c>
      <c r="K7" s="36">
        <v>0</v>
      </c>
      <c r="L7" s="35">
        <v>0</v>
      </c>
      <c r="M7" s="35">
        <v>30</v>
      </c>
      <c r="N7" s="36">
        <v>145</v>
      </c>
      <c r="O7" s="35">
        <v>4350</v>
      </c>
    </row>
    <row r="8" spans="1:17" s="23" customFormat="1" x14ac:dyDescent="0.35">
      <c r="A8" s="20" t="s">
        <v>194</v>
      </c>
      <c r="B8" s="21">
        <v>30</v>
      </c>
      <c r="C8" s="22">
        <v>130</v>
      </c>
      <c r="D8" s="21">
        <v>3900</v>
      </c>
      <c r="E8" s="21">
        <v>0</v>
      </c>
      <c r="F8" s="22">
        <v>0</v>
      </c>
      <c r="G8" s="21">
        <v>0</v>
      </c>
      <c r="H8" s="21">
        <v>0</v>
      </c>
      <c r="I8" s="21">
        <v>0</v>
      </c>
      <c r="J8" s="21">
        <v>0</v>
      </c>
      <c r="K8" s="22">
        <v>0</v>
      </c>
      <c r="L8" s="21">
        <v>0</v>
      </c>
      <c r="M8" s="21">
        <v>30</v>
      </c>
      <c r="N8" s="22">
        <v>130</v>
      </c>
      <c r="O8" s="21">
        <v>3900</v>
      </c>
      <c r="Q8" s="46"/>
    </row>
    <row r="9" spans="1:17" s="23" customFormat="1" x14ac:dyDescent="0.35">
      <c r="A9" s="34" t="s">
        <v>243</v>
      </c>
      <c r="B9" s="35">
        <v>300</v>
      </c>
      <c r="C9" s="36">
        <v>92</v>
      </c>
      <c r="D9" s="35">
        <v>27600</v>
      </c>
      <c r="E9" s="35">
        <v>0</v>
      </c>
      <c r="F9" s="36">
        <v>0</v>
      </c>
      <c r="G9" s="35">
        <v>0</v>
      </c>
      <c r="H9" s="35">
        <v>0</v>
      </c>
      <c r="I9" s="35">
        <v>0</v>
      </c>
      <c r="J9" s="35">
        <v>0</v>
      </c>
      <c r="K9" s="36">
        <v>0</v>
      </c>
      <c r="L9" s="35">
        <v>0</v>
      </c>
      <c r="M9" s="35">
        <v>300</v>
      </c>
      <c r="N9" s="36">
        <v>92</v>
      </c>
      <c r="O9" s="35">
        <v>27600</v>
      </c>
      <c r="P9" s="46"/>
    </row>
    <row r="10" spans="1:17" s="23" customFormat="1" x14ac:dyDescent="0.35">
      <c r="A10" s="20" t="s">
        <v>195</v>
      </c>
      <c r="B10" s="21">
        <v>50</v>
      </c>
      <c r="C10" s="22">
        <v>140</v>
      </c>
      <c r="D10" s="21">
        <v>7000</v>
      </c>
      <c r="E10" s="21">
        <v>0</v>
      </c>
      <c r="F10" s="22">
        <v>0</v>
      </c>
      <c r="G10" s="21">
        <v>0</v>
      </c>
      <c r="H10" s="21">
        <v>0</v>
      </c>
      <c r="I10" s="21">
        <v>0</v>
      </c>
      <c r="J10" s="21">
        <v>0</v>
      </c>
      <c r="K10" s="22">
        <v>0</v>
      </c>
      <c r="L10" s="21">
        <v>0</v>
      </c>
      <c r="M10" s="21">
        <v>50</v>
      </c>
      <c r="N10" s="22">
        <v>140</v>
      </c>
      <c r="O10" s="21">
        <v>7000</v>
      </c>
    </row>
    <row r="11" spans="1:17" x14ac:dyDescent="0.35">
      <c r="A11" s="17" t="s">
        <v>190</v>
      </c>
      <c r="B11" s="18">
        <v>30</v>
      </c>
      <c r="C11" s="19">
        <v>175</v>
      </c>
      <c r="D11" s="18">
        <v>5250</v>
      </c>
      <c r="E11" s="18">
        <v>0</v>
      </c>
      <c r="F11" s="19">
        <v>0</v>
      </c>
      <c r="G11" s="18">
        <v>0</v>
      </c>
      <c r="H11" s="18">
        <v>0</v>
      </c>
      <c r="I11" s="18">
        <v>0</v>
      </c>
      <c r="J11" s="18">
        <v>0</v>
      </c>
      <c r="K11" s="19">
        <v>0</v>
      </c>
      <c r="L11" s="18">
        <v>0</v>
      </c>
      <c r="M11" s="18">
        <v>30</v>
      </c>
      <c r="N11" s="19">
        <v>175</v>
      </c>
      <c r="O11" s="18">
        <v>5250</v>
      </c>
    </row>
    <row r="12" spans="1:17" x14ac:dyDescent="0.35">
      <c r="A12" t="s">
        <v>196</v>
      </c>
      <c r="B12" s="14">
        <v>50</v>
      </c>
      <c r="C12" s="16">
        <v>60</v>
      </c>
      <c r="D12" s="14">
        <v>3000</v>
      </c>
      <c r="E12" s="14">
        <v>0</v>
      </c>
      <c r="F12" s="16">
        <v>0</v>
      </c>
      <c r="G12" s="14">
        <v>0</v>
      </c>
      <c r="H12" s="14">
        <v>0</v>
      </c>
      <c r="I12" s="14">
        <v>0</v>
      </c>
      <c r="J12" s="14">
        <v>0</v>
      </c>
      <c r="K12" s="16">
        <v>0</v>
      </c>
      <c r="L12" s="14">
        <v>0</v>
      </c>
      <c r="M12" s="14">
        <v>50</v>
      </c>
      <c r="N12" s="16">
        <v>60</v>
      </c>
      <c r="O12" s="14">
        <v>3000</v>
      </c>
    </row>
    <row r="13" spans="1:17" x14ac:dyDescent="0.35">
      <c r="A13" s="17" t="s">
        <v>170</v>
      </c>
      <c r="B13" s="18">
        <v>18393.14</v>
      </c>
      <c r="C13" s="19">
        <v>113.00000978625727</v>
      </c>
      <c r="D13" s="18">
        <v>2078425</v>
      </c>
      <c r="E13" s="18">
        <v>0</v>
      </c>
      <c r="F13" s="19">
        <v>0</v>
      </c>
      <c r="G13" s="18">
        <v>0</v>
      </c>
      <c r="H13" s="18">
        <v>0</v>
      </c>
      <c r="I13" s="18">
        <v>0</v>
      </c>
      <c r="J13" s="18">
        <v>18393.14</v>
      </c>
      <c r="K13" s="19">
        <v>113.000009786257</v>
      </c>
      <c r="L13" s="18">
        <v>2078424.9999999949</v>
      </c>
      <c r="M13" s="18">
        <v>0</v>
      </c>
      <c r="N13" s="19">
        <v>0</v>
      </c>
      <c r="O13" s="18">
        <v>5.1222741603851318E-9</v>
      </c>
    </row>
    <row r="14" spans="1:17" x14ac:dyDescent="0.35">
      <c r="A14" t="s">
        <v>178</v>
      </c>
      <c r="B14" s="14">
        <v>0</v>
      </c>
      <c r="C14" s="16">
        <v>0</v>
      </c>
      <c r="D14" s="14">
        <v>0</v>
      </c>
      <c r="E14" s="14">
        <v>21000</v>
      </c>
      <c r="F14" s="16">
        <v>112.25714285714285</v>
      </c>
      <c r="G14" s="14">
        <v>2357400</v>
      </c>
      <c r="H14" s="14">
        <v>0</v>
      </c>
      <c r="I14" s="14">
        <v>0</v>
      </c>
      <c r="J14" s="14">
        <v>12000</v>
      </c>
      <c r="K14" s="16">
        <v>112.72083333333333</v>
      </c>
      <c r="L14" s="14">
        <v>1352650</v>
      </c>
      <c r="M14" s="14">
        <v>9000</v>
      </c>
      <c r="N14" s="16">
        <v>111.63888888888889</v>
      </c>
      <c r="O14" s="14">
        <v>1004750</v>
      </c>
    </row>
    <row r="15" spans="1:17" x14ac:dyDescent="0.35">
      <c r="A15" s="17" t="s">
        <v>182</v>
      </c>
      <c r="B15" s="18">
        <v>0</v>
      </c>
      <c r="C15" s="19">
        <v>0</v>
      </c>
      <c r="D15" s="18">
        <v>0</v>
      </c>
      <c r="E15" s="18">
        <v>0</v>
      </c>
      <c r="F15" s="19">
        <v>0</v>
      </c>
      <c r="G15" s="18">
        <v>0</v>
      </c>
      <c r="H15" s="18">
        <v>0</v>
      </c>
      <c r="I15" s="18">
        <v>0</v>
      </c>
      <c r="J15" s="18">
        <v>0</v>
      </c>
      <c r="K15" s="19">
        <v>0</v>
      </c>
      <c r="L15" s="18">
        <v>0</v>
      </c>
      <c r="M15" s="18">
        <v>0</v>
      </c>
      <c r="N15" s="19">
        <v>0</v>
      </c>
      <c r="O15" s="18">
        <v>0</v>
      </c>
    </row>
    <row r="16" spans="1:17" x14ac:dyDescent="0.35">
      <c r="A16" t="s">
        <v>197</v>
      </c>
      <c r="B16" s="14">
        <v>0</v>
      </c>
      <c r="C16" s="16">
        <v>0</v>
      </c>
      <c r="D16" s="14">
        <v>0</v>
      </c>
      <c r="E16" s="14">
        <v>0</v>
      </c>
      <c r="F16" s="16">
        <v>0</v>
      </c>
      <c r="G16" s="14">
        <v>0</v>
      </c>
      <c r="H16" s="14">
        <v>0</v>
      </c>
      <c r="I16" s="14">
        <v>0</v>
      </c>
      <c r="J16" s="14">
        <v>0</v>
      </c>
      <c r="K16" s="16">
        <v>0</v>
      </c>
      <c r="L16" s="14">
        <v>0</v>
      </c>
      <c r="M16" s="14">
        <v>0</v>
      </c>
      <c r="N16" s="16">
        <v>0</v>
      </c>
      <c r="O16" s="14">
        <v>0</v>
      </c>
    </row>
    <row r="17" spans="1:15" x14ac:dyDescent="0.35">
      <c r="A17" s="17" t="s">
        <v>198</v>
      </c>
      <c r="B17" s="18">
        <v>0</v>
      </c>
      <c r="C17" s="19">
        <v>0</v>
      </c>
      <c r="D17" s="18">
        <v>0</v>
      </c>
      <c r="E17" s="18">
        <v>0</v>
      </c>
      <c r="F17" s="19">
        <v>0</v>
      </c>
      <c r="G17" s="18">
        <v>0</v>
      </c>
      <c r="H17" s="18">
        <v>0</v>
      </c>
      <c r="I17" s="18">
        <v>0</v>
      </c>
      <c r="J17" s="18">
        <v>0</v>
      </c>
      <c r="K17" s="19">
        <v>0</v>
      </c>
      <c r="L17" s="18">
        <v>0</v>
      </c>
      <c r="M17" s="18">
        <v>0</v>
      </c>
      <c r="N17" s="19">
        <v>0</v>
      </c>
      <c r="O17" s="18">
        <v>0</v>
      </c>
    </row>
    <row r="18" spans="1:15" x14ac:dyDescent="0.35">
      <c r="A18" t="s">
        <v>199</v>
      </c>
      <c r="B18" s="14">
        <v>0</v>
      </c>
      <c r="C18" s="16">
        <v>0</v>
      </c>
      <c r="D18" s="14">
        <v>0</v>
      </c>
      <c r="E18" s="14">
        <v>0</v>
      </c>
      <c r="F18" s="16">
        <v>0</v>
      </c>
      <c r="G18" s="14">
        <v>0</v>
      </c>
      <c r="H18" s="14">
        <v>0</v>
      </c>
      <c r="I18" s="14">
        <v>0</v>
      </c>
      <c r="J18" s="14">
        <v>0</v>
      </c>
      <c r="K18" s="16">
        <v>0</v>
      </c>
      <c r="L18" s="14">
        <v>0</v>
      </c>
      <c r="M18" s="14">
        <v>0</v>
      </c>
      <c r="N18" s="16">
        <v>0</v>
      </c>
      <c r="O18" s="14">
        <v>0</v>
      </c>
    </row>
    <row r="19" spans="1:15" x14ac:dyDescent="0.35">
      <c r="A19" s="17" t="s">
        <v>200</v>
      </c>
      <c r="B19" s="18">
        <v>0</v>
      </c>
      <c r="C19" s="19">
        <v>0</v>
      </c>
      <c r="D19" s="18">
        <v>0</v>
      </c>
      <c r="E19" s="18">
        <v>0</v>
      </c>
      <c r="F19" s="19">
        <v>0</v>
      </c>
      <c r="G19" s="18">
        <v>0</v>
      </c>
      <c r="H19" s="18">
        <v>0</v>
      </c>
      <c r="I19" s="18">
        <v>0</v>
      </c>
      <c r="J19" s="18">
        <v>0</v>
      </c>
      <c r="K19" s="19">
        <v>0</v>
      </c>
      <c r="L19" s="18">
        <v>0</v>
      </c>
      <c r="M19" s="18">
        <v>0</v>
      </c>
      <c r="N19" s="19">
        <v>0</v>
      </c>
      <c r="O19" s="18">
        <v>0</v>
      </c>
    </row>
    <row r="20" spans="1:15" x14ac:dyDescent="0.35">
      <c r="A20" t="s">
        <v>201</v>
      </c>
      <c r="B20" s="14">
        <v>0</v>
      </c>
      <c r="C20" s="16">
        <v>0</v>
      </c>
      <c r="D20" s="14">
        <v>0</v>
      </c>
      <c r="E20" s="14">
        <v>0</v>
      </c>
      <c r="F20" s="16">
        <v>0</v>
      </c>
      <c r="G20" s="14">
        <v>0</v>
      </c>
      <c r="H20" s="14">
        <v>0</v>
      </c>
      <c r="I20" s="14">
        <v>0</v>
      </c>
      <c r="J20" s="14">
        <v>0</v>
      </c>
      <c r="K20" s="16">
        <v>0</v>
      </c>
      <c r="L20" s="14">
        <v>0</v>
      </c>
      <c r="M20" s="14">
        <v>0</v>
      </c>
      <c r="N20" s="16">
        <v>0</v>
      </c>
      <c r="O20" s="14">
        <v>0</v>
      </c>
    </row>
    <row r="21" spans="1:15" x14ac:dyDescent="0.35">
      <c r="A21" s="17" t="s">
        <v>202</v>
      </c>
      <c r="B21" s="18">
        <v>0</v>
      </c>
      <c r="C21" s="19">
        <v>0</v>
      </c>
      <c r="D21" s="18">
        <v>0</v>
      </c>
      <c r="E21" s="18">
        <v>0</v>
      </c>
      <c r="F21" s="19">
        <v>0</v>
      </c>
      <c r="G21" s="18">
        <v>0</v>
      </c>
      <c r="H21" s="18">
        <v>0</v>
      </c>
      <c r="I21" s="18">
        <v>0</v>
      </c>
      <c r="J21" s="18">
        <v>0</v>
      </c>
      <c r="K21" s="19">
        <v>0</v>
      </c>
      <c r="L21" s="18">
        <v>0</v>
      </c>
      <c r="M21" s="18">
        <v>0</v>
      </c>
      <c r="N21" s="19">
        <v>0</v>
      </c>
      <c r="O21" s="18">
        <v>0</v>
      </c>
    </row>
    <row r="22" spans="1:15" x14ac:dyDescent="0.35">
      <c r="A22" t="s">
        <v>203</v>
      </c>
      <c r="B22" s="14">
        <v>0</v>
      </c>
      <c r="C22" s="16">
        <v>0</v>
      </c>
      <c r="D22" s="14">
        <v>0</v>
      </c>
      <c r="E22" s="14">
        <v>0</v>
      </c>
      <c r="F22" s="16">
        <v>0</v>
      </c>
      <c r="G22" s="14">
        <v>0</v>
      </c>
      <c r="H22" s="14">
        <v>0</v>
      </c>
      <c r="I22" s="14">
        <v>0</v>
      </c>
      <c r="J22" s="14">
        <v>0</v>
      </c>
      <c r="K22" s="16">
        <v>0</v>
      </c>
      <c r="L22" s="14">
        <v>0</v>
      </c>
      <c r="M22" s="14">
        <v>0</v>
      </c>
      <c r="N22" s="16">
        <v>0</v>
      </c>
      <c r="O22" s="14">
        <v>0</v>
      </c>
    </row>
    <row r="23" spans="1:15" x14ac:dyDescent="0.35">
      <c r="A23" s="17" t="s">
        <v>211</v>
      </c>
      <c r="B23" s="18">
        <v>0</v>
      </c>
      <c r="C23" s="19">
        <v>0</v>
      </c>
      <c r="D23" s="18">
        <v>0</v>
      </c>
      <c r="E23" s="18">
        <v>0</v>
      </c>
      <c r="F23" s="19">
        <v>0</v>
      </c>
      <c r="G23" s="18">
        <v>0</v>
      </c>
      <c r="H23" s="18">
        <v>0</v>
      </c>
      <c r="I23" s="18">
        <v>0</v>
      </c>
      <c r="J23" s="18">
        <v>0</v>
      </c>
      <c r="K23" s="19">
        <v>0</v>
      </c>
      <c r="L23" s="18">
        <v>0</v>
      </c>
      <c r="M23" s="18">
        <v>0</v>
      </c>
      <c r="N23" s="19">
        <v>0</v>
      </c>
      <c r="O23" s="18">
        <v>0</v>
      </c>
    </row>
    <row r="24" spans="1:15" x14ac:dyDescent="0.35">
      <c r="A24" t="s">
        <v>209</v>
      </c>
      <c r="B24" s="14">
        <v>0</v>
      </c>
      <c r="C24" s="16">
        <v>0</v>
      </c>
      <c r="D24" s="14">
        <v>0</v>
      </c>
      <c r="E24" s="14">
        <v>0</v>
      </c>
      <c r="F24" s="16">
        <v>0</v>
      </c>
      <c r="G24" s="14">
        <v>0</v>
      </c>
      <c r="H24" s="14">
        <v>0</v>
      </c>
      <c r="I24" s="14">
        <v>0</v>
      </c>
      <c r="J24" s="14">
        <v>0</v>
      </c>
      <c r="K24" s="16">
        <v>0</v>
      </c>
      <c r="L24" s="14">
        <v>0</v>
      </c>
      <c r="M24" s="14">
        <v>0</v>
      </c>
      <c r="N24" s="16">
        <v>0</v>
      </c>
      <c r="O24" s="14">
        <v>0</v>
      </c>
    </row>
    <row r="25" spans="1:15" x14ac:dyDescent="0.35">
      <c r="A25" s="17" t="s">
        <v>210</v>
      </c>
      <c r="B25" s="18">
        <v>0</v>
      </c>
      <c r="C25" s="19">
        <v>0</v>
      </c>
      <c r="D25" s="18">
        <v>0</v>
      </c>
      <c r="E25" s="18">
        <v>0</v>
      </c>
      <c r="F25" s="19">
        <v>0</v>
      </c>
      <c r="G25" s="18">
        <v>0</v>
      </c>
      <c r="H25" s="18">
        <v>0</v>
      </c>
      <c r="I25" s="18">
        <v>0</v>
      </c>
      <c r="J25" s="18">
        <v>0</v>
      </c>
      <c r="K25" s="19">
        <v>0</v>
      </c>
      <c r="L25" s="18">
        <v>0</v>
      </c>
      <c r="M25" s="18">
        <v>0</v>
      </c>
      <c r="N25" s="19">
        <v>0</v>
      </c>
      <c r="O25" s="18">
        <v>0</v>
      </c>
    </row>
    <row r="26" spans="1:15" x14ac:dyDescent="0.35">
      <c r="A26" t="s">
        <v>212</v>
      </c>
      <c r="B26" s="14">
        <v>0</v>
      </c>
      <c r="C26" s="16">
        <v>0</v>
      </c>
      <c r="D26" s="14">
        <v>0</v>
      </c>
      <c r="E26" s="14">
        <v>0</v>
      </c>
      <c r="F26" s="16">
        <v>0</v>
      </c>
      <c r="G26" s="14">
        <v>0</v>
      </c>
      <c r="H26" s="14">
        <v>0</v>
      </c>
      <c r="I26" s="14">
        <v>0</v>
      </c>
      <c r="J26" s="14">
        <v>0</v>
      </c>
      <c r="K26" s="16">
        <v>0</v>
      </c>
      <c r="L26" s="14">
        <v>0</v>
      </c>
      <c r="M26" s="14">
        <v>0</v>
      </c>
      <c r="N26" s="16">
        <v>0</v>
      </c>
      <c r="O26" s="14">
        <v>0</v>
      </c>
    </row>
    <row r="27" spans="1:15" x14ac:dyDescent="0.35">
      <c r="A27" s="17" t="s">
        <v>213</v>
      </c>
      <c r="B27" s="18">
        <v>0</v>
      </c>
      <c r="C27" s="19">
        <v>0</v>
      </c>
      <c r="D27" s="18">
        <v>0</v>
      </c>
      <c r="E27" s="18">
        <v>0</v>
      </c>
      <c r="F27" s="19">
        <v>0</v>
      </c>
      <c r="G27" s="18">
        <v>0</v>
      </c>
      <c r="H27" s="18">
        <v>0</v>
      </c>
      <c r="I27" s="18">
        <v>0</v>
      </c>
      <c r="J27" s="18">
        <v>0</v>
      </c>
      <c r="K27" s="19">
        <v>0</v>
      </c>
      <c r="L27" s="18">
        <v>0</v>
      </c>
      <c r="M27" s="18">
        <v>0</v>
      </c>
      <c r="N27" s="19">
        <v>0</v>
      </c>
      <c r="O27" s="18">
        <v>0</v>
      </c>
    </row>
    <row r="28" spans="1:15" x14ac:dyDescent="0.35">
      <c r="A28" t="s">
        <v>214</v>
      </c>
      <c r="B28" s="14">
        <v>0</v>
      </c>
      <c r="C28" s="16">
        <v>0</v>
      </c>
      <c r="D28" s="14">
        <v>0</v>
      </c>
      <c r="E28" s="14">
        <v>0</v>
      </c>
      <c r="F28" s="16">
        <v>0</v>
      </c>
      <c r="G28" s="14">
        <v>0</v>
      </c>
      <c r="H28" s="14">
        <v>0</v>
      </c>
      <c r="I28" s="14">
        <v>0</v>
      </c>
      <c r="J28" s="14">
        <v>0</v>
      </c>
      <c r="K28" s="16">
        <v>0</v>
      </c>
      <c r="L28" s="14">
        <v>0</v>
      </c>
      <c r="M28" s="14">
        <v>0</v>
      </c>
      <c r="N28" s="16">
        <v>0</v>
      </c>
      <c r="O28" s="14">
        <v>0</v>
      </c>
    </row>
    <row r="29" spans="1:15" x14ac:dyDescent="0.35">
      <c r="A29" s="17" t="s">
        <v>215</v>
      </c>
      <c r="B29" s="18">
        <v>0</v>
      </c>
      <c r="C29" s="19">
        <v>0</v>
      </c>
      <c r="D29" s="18">
        <v>0</v>
      </c>
      <c r="E29" s="18">
        <v>0</v>
      </c>
      <c r="F29" s="19">
        <v>0</v>
      </c>
      <c r="G29" s="18">
        <v>0</v>
      </c>
      <c r="H29" s="18">
        <v>0</v>
      </c>
      <c r="I29" s="18">
        <v>0</v>
      </c>
      <c r="J29" s="18">
        <v>0</v>
      </c>
      <c r="K29" s="19">
        <v>0</v>
      </c>
      <c r="L29" s="18">
        <v>0</v>
      </c>
      <c r="M29" s="18">
        <v>0</v>
      </c>
      <c r="N29" s="19">
        <v>0</v>
      </c>
      <c r="O29" s="18">
        <v>0</v>
      </c>
    </row>
    <row r="30" spans="1:15" x14ac:dyDescent="0.35">
      <c r="A30" t="s">
        <v>216</v>
      </c>
      <c r="B30" s="14">
        <v>0</v>
      </c>
      <c r="C30" s="16">
        <v>0</v>
      </c>
      <c r="D30" s="14">
        <v>0</v>
      </c>
      <c r="E30" s="14">
        <v>0</v>
      </c>
      <c r="F30" s="16">
        <v>0</v>
      </c>
      <c r="G30" s="14">
        <v>0</v>
      </c>
      <c r="H30" s="14">
        <v>0</v>
      </c>
      <c r="I30" s="14">
        <v>0</v>
      </c>
      <c r="J30" s="14">
        <v>0</v>
      </c>
      <c r="K30" s="16">
        <v>0</v>
      </c>
      <c r="L30" s="14">
        <v>0</v>
      </c>
      <c r="M30" s="14">
        <v>0</v>
      </c>
      <c r="N30" s="16">
        <v>0</v>
      </c>
      <c r="O30" s="14">
        <v>0</v>
      </c>
    </row>
    <row r="31" spans="1:15" x14ac:dyDescent="0.35">
      <c r="A31" s="17" t="s">
        <v>217</v>
      </c>
      <c r="B31" s="18">
        <v>0</v>
      </c>
      <c r="C31" s="19">
        <v>0</v>
      </c>
      <c r="D31" s="18">
        <v>0</v>
      </c>
      <c r="E31" s="18">
        <v>0</v>
      </c>
      <c r="F31" s="19">
        <v>0</v>
      </c>
      <c r="G31" s="18">
        <v>0</v>
      </c>
      <c r="H31" s="18">
        <v>0</v>
      </c>
      <c r="I31" s="18">
        <v>0</v>
      </c>
      <c r="J31" s="18">
        <v>0</v>
      </c>
      <c r="K31" s="19">
        <v>0</v>
      </c>
      <c r="L31" s="18">
        <v>0</v>
      </c>
      <c r="M31" s="18">
        <v>0</v>
      </c>
      <c r="N31" s="19">
        <v>0</v>
      </c>
      <c r="O31" s="18">
        <v>0</v>
      </c>
    </row>
    <row r="32" spans="1:15" x14ac:dyDescent="0.35">
      <c r="A32" t="s">
        <v>218</v>
      </c>
      <c r="B32" s="14">
        <v>0</v>
      </c>
      <c r="C32" s="16">
        <v>0</v>
      </c>
      <c r="D32" s="14">
        <v>0</v>
      </c>
      <c r="E32" s="14">
        <v>0</v>
      </c>
      <c r="F32" s="16">
        <v>0</v>
      </c>
      <c r="G32" s="14">
        <v>0</v>
      </c>
      <c r="H32" s="14">
        <v>0</v>
      </c>
      <c r="I32" s="14">
        <v>0</v>
      </c>
      <c r="J32" s="14">
        <v>0</v>
      </c>
      <c r="K32" s="16">
        <v>0</v>
      </c>
      <c r="L32" s="14">
        <v>0</v>
      </c>
      <c r="M32" s="14">
        <v>0</v>
      </c>
      <c r="N32" s="16">
        <v>0</v>
      </c>
      <c r="O32" s="14">
        <v>0</v>
      </c>
    </row>
    <row r="33" spans="1:15" x14ac:dyDescent="0.35">
      <c r="A33" s="17" t="s">
        <v>219</v>
      </c>
      <c r="B33" s="18">
        <v>0</v>
      </c>
      <c r="C33" s="19">
        <v>0</v>
      </c>
      <c r="D33" s="18">
        <v>0</v>
      </c>
      <c r="E33" s="18">
        <v>0</v>
      </c>
      <c r="F33" s="19">
        <v>0</v>
      </c>
      <c r="G33" s="18">
        <v>0</v>
      </c>
      <c r="H33" s="18">
        <v>0</v>
      </c>
      <c r="I33" s="18">
        <v>0</v>
      </c>
      <c r="J33" s="18">
        <v>0</v>
      </c>
      <c r="K33" s="19">
        <v>0</v>
      </c>
      <c r="L33" s="18">
        <v>0</v>
      </c>
      <c r="M33" s="18">
        <v>0</v>
      </c>
      <c r="N33" s="19">
        <v>0</v>
      </c>
      <c r="O33" s="18">
        <v>0</v>
      </c>
    </row>
    <row r="34" spans="1:15" x14ac:dyDescent="0.35">
      <c r="A34" t="s">
        <v>220</v>
      </c>
      <c r="B34" s="14">
        <v>0</v>
      </c>
      <c r="C34" s="16">
        <v>0</v>
      </c>
      <c r="D34" s="14">
        <v>0</v>
      </c>
      <c r="E34" s="14">
        <v>0</v>
      </c>
      <c r="F34" s="16">
        <v>0</v>
      </c>
      <c r="G34" s="14">
        <v>0</v>
      </c>
      <c r="H34" s="14">
        <v>0</v>
      </c>
      <c r="I34" s="14">
        <v>0</v>
      </c>
      <c r="J34" s="14">
        <v>0</v>
      </c>
      <c r="K34" s="16">
        <v>0</v>
      </c>
      <c r="L34" s="14">
        <v>0</v>
      </c>
      <c r="M34" s="14">
        <v>0</v>
      </c>
      <c r="N34" s="16">
        <v>0</v>
      </c>
      <c r="O34" s="14">
        <v>0</v>
      </c>
    </row>
    <row r="35" spans="1:15" x14ac:dyDescent="0.35">
      <c r="A35" s="17" t="s">
        <v>221</v>
      </c>
      <c r="B35" s="18">
        <v>0</v>
      </c>
      <c r="C35" s="19">
        <v>0</v>
      </c>
      <c r="D35" s="18">
        <v>0</v>
      </c>
      <c r="E35" s="18">
        <v>0</v>
      </c>
      <c r="F35" s="19">
        <v>0</v>
      </c>
      <c r="G35" s="18">
        <v>0</v>
      </c>
      <c r="H35" s="18">
        <v>0</v>
      </c>
      <c r="I35" s="18">
        <v>0</v>
      </c>
      <c r="J35" s="18">
        <v>0</v>
      </c>
      <c r="K35" s="19">
        <v>0</v>
      </c>
      <c r="L35" s="18">
        <v>0</v>
      </c>
      <c r="M35" s="18">
        <v>0</v>
      </c>
      <c r="N35" s="19">
        <v>0</v>
      </c>
      <c r="O35" s="18">
        <v>0</v>
      </c>
    </row>
    <row r="36" spans="1:15" x14ac:dyDescent="0.35">
      <c r="A36" t="s">
        <v>222</v>
      </c>
      <c r="B36" s="14">
        <v>0</v>
      </c>
      <c r="C36" s="16">
        <v>0</v>
      </c>
      <c r="D36" s="14">
        <v>0</v>
      </c>
      <c r="E36" s="14">
        <v>0</v>
      </c>
      <c r="F36" s="16">
        <v>0</v>
      </c>
      <c r="G36" s="14">
        <v>0</v>
      </c>
      <c r="H36" s="14">
        <v>0</v>
      </c>
      <c r="I36" s="14">
        <v>0</v>
      </c>
      <c r="J36" s="14">
        <v>0</v>
      </c>
      <c r="K36" s="16">
        <v>0</v>
      </c>
      <c r="L36" s="14">
        <v>0</v>
      </c>
      <c r="M36" s="14">
        <v>0</v>
      </c>
      <c r="N36" s="16">
        <v>0</v>
      </c>
      <c r="O36" s="14">
        <v>0</v>
      </c>
    </row>
    <row r="37" spans="1:15" x14ac:dyDescent="0.35">
      <c r="A37" s="17" t="s">
        <v>223</v>
      </c>
      <c r="B37" s="18">
        <v>0</v>
      </c>
      <c r="C37" s="19">
        <v>0</v>
      </c>
      <c r="D37" s="18">
        <v>0</v>
      </c>
      <c r="E37" s="18">
        <v>0</v>
      </c>
      <c r="F37" s="19">
        <v>0</v>
      </c>
      <c r="G37" s="18">
        <v>0</v>
      </c>
      <c r="H37" s="18">
        <v>0</v>
      </c>
      <c r="I37" s="18">
        <v>0</v>
      </c>
      <c r="J37" s="18">
        <v>0</v>
      </c>
      <c r="K37" s="19">
        <v>0</v>
      </c>
      <c r="L37" s="18">
        <v>0</v>
      </c>
      <c r="M37" s="18">
        <v>0</v>
      </c>
      <c r="N37" s="19">
        <v>0</v>
      </c>
      <c r="O37" s="18">
        <v>0</v>
      </c>
    </row>
    <row r="38" spans="1:15" x14ac:dyDescent="0.35">
      <c r="A38" t="s">
        <v>224</v>
      </c>
      <c r="B38" s="14">
        <v>0</v>
      </c>
      <c r="C38" s="16">
        <v>0</v>
      </c>
      <c r="D38" s="14">
        <v>0</v>
      </c>
      <c r="E38" s="14">
        <v>0</v>
      </c>
      <c r="F38" s="16">
        <v>0</v>
      </c>
      <c r="G38" s="14">
        <v>0</v>
      </c>
      <c r="H38" s="14">
        <v>0</v>
      </c>
      <c r="I38" s="14">
        <v>0</v>
      </c>
      <c r="J38" s="14">
        <v>0</v>
      </c>
      <c r="K38" s="16">
        <v>0</v>
      </c>
      <c r="L38" s="14">
        <v>0</v>
      </c>
      <c r="M38" s="14">
        <v>0</v>
      </c>
      <c r="N38" s="16">
        <v>0</v>
      </c>
      <c r="O38" s="14">
        <v>0</v>
      </c>
    </row>
    <row r="39" spans="1:15" x14ac:dyDescent="0.35">
      <c r="A39" s="17" t="s">
        <v>235</v>
      </c>
      <c r="B39" s="18">
        <v>0</v>
      </c>
      <c r="C39" s="19">
        <v>0</v>
      </c>
      <c r="D39" s="18">
        <v>0</v>
      </c>
      <c r="E39" s="18">
        <v>0</v>
      </c>
      <c r="F39" s="19">
        <v>0</v>
      </c>
      <c r="G39" s="18">
        <v>0</v>
      </c>
      <c r="H39" s="18">
        <v>0</v>
      </c>
      <c r="I39" s="18">
        <v>0</v>
      </c>
      <c r="J39" s="18">
        <v>0</v>
      </c>
      <c r="K39" s="19">
        <v>0</v>
      </c>
      <c r="L39" s="18">
        <v>0</v>
      </c>
      <c r="M39" s="18">
        <v>0</v>
      </c>
      <c r="N39" s="19">
        <v>0</v>
      </c>
      <c r="O39" s="18">
        <v>0</v>
      </c>
    </row>
    <row r="40" spans="1:15" x14ac:dyDescent="0.35">
      <c r="A40" t="s">
        <v>230</v>
      </c>
      <c r="B40" s="14">
        <v>0</v>
      </c>
      <c r="C40" s="16">
        <v>0</v>
      </c>
      <c r="D40" s="14">
        <v>0</v>
      </c>
      <c r="E40" s="14">
        <v>0</v>
      </c>
      <c r="F40" s="16">
        <v>0</v>
      </c>
      <c r="G40" s="14">
        <v>0</v>
      </c>
      <c r="H40" s="14">
        <v>0</v>
      </c>
      <c r="I40" s="14">
        <v>0</v>
      </c>
      <c r="J40" s="14">
        <v>0</v>
      </c>
      <c r="K40" s="16">
        <v>0</v>
      </c>
      <c r="L40" s="14">
        <v>0</v>
      </c>
      <c r="M40" s="14">
        <v>0</v>
      </c>
      <c r="N40" s="16">
        <v>0</v>
      </c>
      <c r="O40" s="14">
        <v>0</v>
      </c>
    </row>
    <row r="41" spans="1:15" x14ac:dyDescent="0.35">
      <c r="A41" s="17" t="s">
        <v>231</v>
      </c>
      <c r="B41" s="18">
        <v>0</v>
      </c>
      <c r="C41" s="19">
        <v>0</v>
      </c>
      <c r="D41" s="18">
        <v>0</v>
      </c>
      <c r="E41" s="18">
        <v>0</v>
      </c>
      <c r="F41" s="19">
        <v>0</v>
      </c>
      <c r="G41" s="18">
        <v>0</v>
      </c>
      <c r="H41" s="18">
        <v>0</v>
      </c>
      <c r="I41" s="18">
        <v>0</v>
      </c>
      <c r="J41" s="18">
        <v>0</v>
      </c>
      <c r="K41" s="19">
        <v>0</v>
      </c>
      <c r="L41" s="18">
        <v>0</v>
      </c>
      <c r="M41" s="18">
        <v>0</v>
      </c>
      <c r="N41" s="19">
        <v>0</v>
      </c>
      <c r="O41" s="18">
        <v>0</v>
      </c>
    </row>
    <row r="42" spans="1:15" x14ac:dyDescent="0.35">
      <c r="A42" t="s">
        <v>232</v>
      </c>
      <c r="B42" s="14">
        <v>0</v>
      </c>
      <c r="C42" s="16">
        <v>0</v>
      </c>
      <c r="D42" s="14">
        <v>0</v>
      </c>
      <c r="E42" s="14">
        <v>0</v>
      </c>
      <c r="F42" s="16">
        <v>0</v>
      </c>
      <c r="G42" s="14">
        <v>0</v>
      </c>
      <c r="H42" s="14">
        <v>0</v>
      </c>
      <c r="I42" s="14">
        <v>0</v>
      </c>
      <c r="J42" s="14">
        <v>0</v>
      </c>
      <c r="K42" s="16">
        <v>0</v>
      </c>
      <c r="L42" s="14">
        <v>0</v>
      </c>
      <c r="M42" s="14">
        <v>0</v>
      </c>
      <c r="N42" s="16">
        <v>0</v>
      </c>
      <c r="O42" s="14">
        <v>0</v>
      </c>
    </row>
    <row r="43" spans="1:15" x14ac:dyDescent="0.35">
      <c r="A43" s="17" t="s">
        <v>233</v>
      </c>
      <c r="B43" s="18">
        <v>0</v>
      </c>
      <c r="C43" s="19">
        <v>0</v>
      </c>
      <c r="D43" s="18">
        <v>0</v>
      </c>
      <c r="E43" s="18">
        <v>0</v>
      </c>
      <c r="F43" s="19">
        <v>0</v>
      </c>
      <c r="G43" s="18">
        <v>0</v>
      </c>
      <c r="H43" s="18">
        <v>0</v>
      </c>
      <c r="I43" s="18">
        <v>0</v>
      </c>
      <c r="J43" s="18">
        <v>0</v>
      </c>
      <c r="K43" s="19">
        <v>0</v>
      </c>
      <c r="L43" s="18">
        <v>0</v>
      </c>
      <c r="M43" s="18">
        <v>0</v>
      </c>
      <c r="N43" s="19">
        <v>0</v>
      </c>
      <c r="O43" s="18">
        <v>0</v>
      </c>
    </row>
    <row r="44" spans="1:15" x14ac:dyDescent="0.35">
      <c r="A44" t="s">
        <v>234</v>
      </c>
      <c r="B44" s="14">
        <v>0</v>
      </c>
      <c r="C44" s="16">
        <v>0</v>
      </c>
      <c r="D44" s="14">
        <v>0</v>
      </c>
      <c r="E44" s="14">
        <v>0</v>
      </c>
      <c r="F44" s="16">
        <v>0</v>
      </c>
      <c r="G44" s="14">
        <v>0</v>
      </c>
      <c r="H44" s="14">
        <v>0</v>
      </c>
      <c r="I44" s="14">
        <v>0</v>
      </c>
      <c r="J44" s="14">
        <v>0</v>
      </c>
      <c r="K44" s="16">
        <v>0</v>
      </c>
      <c r="L44" s="14">
        <v>0</v>
      </c>
      <c r="M44" s="14">
        <v>0</v>
      </c>
      <c r="N44" s="16">
        <v>0</v>
      </c>
      <c r="O44" s="14">
        <v>0</v>
      </c>
    </row>
    <row r="45" spans="1:15" x14ac:dyDescent="0.35">
      <c r="A45" s="17" t="s">
        <v>238</v>
      </c>
      <c r="B45" s="18">
        <v>0</v>
      </c>
      <c r="C45" s="19">
        <v>0</v>
      </c>
      <c r="D45" s="18">
        <v>0</v>
      </c>
      <c r="E45" s="18">
        <v>0</v>
      </c>
      <c r="F45" s="19">
        <v>0</v>
      </c>
      <c r="G45" s="18">
        <v>0</v>
      </c>
      <c r="H45" s="18">
        <v>0</v>
      </c>
      <c r="I45" s="18">
        <v>0</v>
      </c>
      <c r="J45" s="18">
        <v>0</v>
      </c>
      <c r="K45" s="19">
        <v>0</v>
      </c>
      <c r="L45" s="18">
        <v>0</v>
      </c>
      <c r="M45" s="18">
        <v>0</v>
      </c>
      <c r="N45" s="19">
        <v>0</v>
      </c>
      <c r="O45" s="18">
        <v>0</v>
      </c>
    </row>
    <row r="46" spans="1:15" x14ac:dyDescent="0.35">
      <c r="A46" t="s">
        <v>239</v>
      </c>
      <c r="B46" s="14">
        <v>0</v>
      </c>
      <c r="C46" s="16">
        <v>0</v>
      </c>
      <c r="D46" s="14">
        <v>0</v>
      </c>
      <c r="E46" s="14">
        <v>0</v>
      </c>
      <c r="F46" s="16">
        <v>0</v>
      </c>
      <c r="G46" s="14">
        <v>0</v>
      </c>
      <c r="H46" s="14">
        <v>0</v>
      </c>
      <c r="I46" s="14">
        <v>0</v>
      </c>
      <c r="J46" s="14">
        <v>0</v>
      </c>
      <c r="K46" s="16">
        <v>0</v>
      </c>
      <c r="L46" s="14">
        <v>0</v>
      </c>
      <c r="M46" s="14">
        <v>0</v>
      </c>
      <c r="N46" s="16">
        <v>0</v>
      </c>
      <c r="O46" s="14">
        <v>0</v>
      </c>
    </row>
    <row r="47" spans="1:15" x14ac:dyDescent="0.35">
      <c r="A47" s="17" t="s">
        <v>240</v>
      </c>
      <c r="B47" s="18">
        <v>0</v>
      </c>
      <c r="C47" s="19">
        <v>0</v>
      </c>
      <c r="D47" s="18">
        <v>0</v>
      </c>
      <c r="E47" s="18">
        <v>0</v>
      </c>
      <c r="F47" s="19">
        <v>0</v>
      </c>
      <c r="G47" s="18">
        <v>0</v>
      </c>
      <c r="H47" s="18">
        <v>0</v>
      </c>
      <c r="I47" s="18">
        <v>0</v>
      </c>
      <c r="J47" s="18">
        <v>0</v>
      </c>
      <c r="K47" s="19">
        <v>0</v>
      </c>
      <c r="L47" s="18">
        <v>0</v>
      </c>
      <c r="M47" s="18">
        <v>0</v>
      </c>
      <c r="N47" s="19">
        <v>0</v>
      </c>
      <c r="O47" s="18">
        <v>0</v>
      </c>
    </row>
    <row r="48" spans="1:15" x14ac:dyDescent="0.35">
      <c r="A48" t="s">
        <v>241</v>
      </c>
      <c r="B48" s="14">
        <v>0</v>
      </c>
      <c r="C48" s="16">
        <v>0</v>
      </c>
      <c r="D48" s="14">
        <v>0</v>
      </c>
      <c r="E48" s="14">
        <v>0</v>
      </c>
      <c r="F48" s="16">
        <v>0</v>
      </c>
      <c r="G48" s="14">
        <v>0</v>
      </c>
      <c r="H48" s="14">
        <v>0</v>
      </c>
      <c r="I48" s="14">
        <v>0</v>
      </c>
      <c r="J48" s="14">
        <v>0</v>
      </c>
      <c r="K48" s="16">
        <v>0</v>
      </c>
      <c r="L48" s="14">
        <v>0</v>
      </c>
      <c r="M48" s="14">
        <v>0</v>
      </c>
      <c r="N48" s="16">
        <v>0</v>
      </c>
      <c r="O48" s="14">
        <v>0</v>
      </c>
    </row>
    <row r="49" spans="1:15" x14ac:dyDescent="0.35">
      <c r="A49" s="17" t="s">
        <v>242</v>
      </c>
      <c r="B49" s="18">
        <v>0</v>
      </c>
      <c r="C49" s="19">
        <v>0</v>
      </c>
      <c r="D49" s="18">
        <v>0</v>
      </c>
      <c r="E49" s="18">
        <v>0</v>
      </c>
      <c r="F49" s="19">
        <v>0</v>
      </c>
      <c r="G49" s="18">
        <v>0</v>
      </c>
      <c r="H49" s="18">
        <v>0</v>
      </c>
      <c r="I49" s="18">
        <v>0</v>
      </c>
      <c r="J49" s="18">
        <v>0</v>
      </c>
      <c r="K49" s="19">
        <v>0</v>
      </c>
      <c r="L49" s="18">
        <v>0</v>
      </c>
      <c r="M49" s="18">
        <v>0</v>
      </c>
      <c r="N49" s="19">
        <v>0</v>
      </c>
      <c r="O49" s="18">
        <v>0</v>
      </c>
    </row>
    <row r="50" spans="1:15" x14ac:dyDescent="0.35">
      <c r="A50" s="13" t="s">
        <v>115</v>
      </c>
      <c r="B50" s="15">
        <f>SUM(B4:B49)</f>
        <v>18968.14</v>
      </c>
      <c r="C50" s="63"/>
      <c r="D50" s="15">
        <f>SUM(D4:D49)</f>
        <v>2145400</v>
      </c>
      <c r="E50" s="15">
        <f>SUM(E4:E49)</f>
        <v>21000</v>
      </c>
      <c r="F50" s="63"/>
      <c r="G50" s="15">
        <f>SUM(G4:G49)</f>
        <v>2357400</v>
      </c>
      <c r="H50" s="15">
        <f>SUM(H4:H49)</f>
        <v>0</v>
      </c>
      <c r="I50" s="15">
        <f>SUM(I4:I49)</f>
        <v>0</v>
      </c>
      <c r="J50" s="15">
        <f>SUM(J4:J49)</f>
        <v>30393.14</v>
      </c>
      <c r="K50" s="63"/>
      <c r="L50" s="15">
        <f>SUM(L4:L49)</f>
        <v>3431074.9999999949</v>
      </c>
      <c r="M50" s="15">
        <f>SUM(M4:M49)</f>
        <v>9575</v>
      </c>
      <c r="N50" s="63"/>
      <c r="O50" s="15">
        <f>SUM(O4:O49)</f>
        <v>1071725.0000000051</v>
      </c>
    </row>
    <row r="51" spans="1:15" x14ac:dyDescent="0.35">
      <c r="A51" s="13"/>
      <c r="B51" s="15"/>
      <c r="C51" s="13"/>
      <c r="D51" s="15"/>
      <c r="E51" s="15"/>
      <c r="F51" s="13"/>
      <c r="G51" s="15"/>
      <c r="H51" s="15"/>
      <c r="I51" s="15"/>
      <c r="J51" s="15"/>
      <c r="K51" s="13"/>
      <c r="L51" s="15"/>
      <c r="M51" s="15"/>
      <c r="N51" s="13"/>
      <c r="O51" s="15"/>
    </row>
  </sheetData>
  <printOptions horizontalCentered="1"/>
  <pageMargins left="0.4" right="0.4" top="0.5" bottom="0.5" header="0.3" footer="0.3"/>
  <pageSetup paperSize="9" scale="74" fitToHeight="0" orientation="landscape" verticalDpi="0" r:id="rId1"/>
  <headerFooter>
    <oddHeader>&amp;L&amp;B&amp;14Ganesh Tel Mill&amp;R&amp;B&amp;12PAN: 604141622</oddHeader>
    <oddFooter>&amp;L&amp;10Prepared by: Suresh Sharma&amp;C&amp;10Page &amp;P of &amp;N&amp;R&amp;10Tel: 9851135421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GenerateRMStockReport">
                <anchor moveWithCells="1" sizeWithCells="1">
                  <from>
                    <xdr:col>9</xdr:col>
                    <xdr:colOff>196850</xdr:colOff>
                    <xdr:row>0</xdr:row>
                    <xdr:rowOff>69850</xdr:rowOff>
                  </from>
                  <to>
                    <xdr:col>11</xdr:col>
                    <xdr:colOff>590550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14812-9B4A-4A77-B9F6-645AB0CD1147}">
  <sheetPr codeName="Sheet16">
    <tabColor rgb="FF002060"/>
    <pageSetUpPr fitToPage="1"/>
  </sheetPr>
  <dimension ref="A1:T12"/>
  <sheetViews>
    <sheetView showGridLines="0" workbookViewId="0">
      <pane ySplit="3" topLeftCell="A4" activePane="bottomLeft" state="frozen"/>
      <selection pane="bottomLeft" activeCell="H18" sqref="H18"/>
    </sheetView>
  </sheetViews>
  <sheetFormatPr defaultRowHeight="14.5" x14ac:dyDescent="0.35"/>
  <cols>
    <col min="1" max="1" width="27.453125" style="26" bestFit="1" customWidth="1"/>
    <col min="2" max="2" width="8.26953125" style="26" bestFit="1" customWidth="1"/>
    <col min="3" max="3" width="5.1796875" style="26" bestFit="1" customWidth="1"/>
    <col min="4" max="4" width="11.26953125" style="26" bestFit="1" customWidth="1"/>
    <col min="5" max="5" width="8.36328125" style="26" bestFit="1" customWidth="1"/>
    <col min="6" max="6" width="11.453125" style="26" bestFit="1" customWidth="1"/>
    <col min="7" max="7" width="10.08984375" style="26" bestFit="1" customWidth="1"/>
    <col min="8" max="8" width="9.6328125" style="26" bestFit="1" customWidth="1"/>
    <col min="9" max="9" width="10.453125" style="26" bestFit="1" customWidth="1"/>
    <col min="10" max="10" width="8.453125" style="26" bestFit="1" customWidth="1"/>
    <col min="11" max="11" width="9.7265625" style="26" bestFit="1" customWidth="1"/>
    <col min="12" max="12" width="12.7265625" style="26" bestFit="1" customWidth="1"/>
    <col min="13" max="13" width="8.90625" style="26" bestFit="1" customWidth="1"/>
    <col min="14" max="14" width="8.36328125" style="26" bestFit="1" customWidth="1"/>
    <col min="15" max="15" width="11.453125" style="26" bestFit="1" customWidth="1"/>
    <col min="16" max="16" width="9.26953125" style="26" bestFit="1" customWidth="1"/>
    <col min="17" max="17" width="7.6328125" style="26" bestFit="1" customWidth="1"/>
    <col min="18" max="18" width="10.7265625" style="26" bestFit="1" customWidth="1"/>
    <col min="19" max="19" width="5.08984375" style="26" bestFit="1" customWidth="1"/>
    <col min="20" max="20" width="14.6328125" style="26" bestFit="1" customWidth="1"/>
    <col min="21" max="16384" width="8.7265625" style="26"/>
  </cols>
  <sheetData>
    <row r="1" spans="1:20" ht="22.5" customHeight="1" x14ac:dyDescent="0.35">
      <c r="A1" s="175" t="s">
        <v>423</v>
      </c>
      <c r="E1" s="28" t="s">
        <v>105</v>
      </c>
      <c r="F1" s="27">
        <v>45917</v>
      </c>
      <c r="H1" s="28" t="s">
        <v>106</v>
      </c>
      <c r="I1" s="27">
        <v>45946</v>
      </c>
    </row>
    <row r="2" spans="1:20" ht="18.5" customHeight="1" x14ac:dyDescent="0.35"/>
    <row r="3" spans="1:20" s="229" customFormat="1" ht="30" customHeight="1" x14ac:dyDescent="0.35">
      <c r="A3" s="227" t="s">
        <v>11</v>
      </c>
      <c r="B3" s="227" t="s">
        <v>424</v>
      </c>
      <c r="C3" s="227" t="s">
        <v>2</v>
      </c>
      <c r="D3" s="227" t="s">
        <v>73</v>
      </c>
      <c r="E3" s="227" t="s">
        <v>71</v>
      </c>
      <c r="F3" s="227" t="s">
        <v>425</v>
      </c>
      <c r="G3" s="227" t="s">
        <v>426</v>
      </c>
      <c r="H3" s="227" t="s">
        <v>427</v>
      </c>
      <c r="I3" s="227" t="s">
        <v>428</v>
      </c>
      <c r="J3" s="227" t="s">
        <v>429</v>
      </c>
      <c r="K3" s="227" t="s">
        <v>430</v>
      </c>
      <c r="L3" s="227" t="s">
        <v>431</v>
      </c>
      <c r="M3" s="227" t="s">
        <v>74</v>
      </c>
      <c r="N3" s="227" t="s">
        <v>75</v>
      </c>
      <c r="O3" s="227" t="s">
        <v>76</v>
      </c>
      <c r="P3" s="228" t="s">
        <v>432</v>
      </c>
      <c r="Q3" s="228" t="s">
        <v>433</v>
      </c>
      <c r="R3" s="228" t="s">
        <v>434</v>
      </c>
      <c r="S3" s="228" t="s">
        <v>435</v>
      </c>
    </row>
    <row r="4" spans="1:20" x14ac:dyDescent="0.35">
      <c r="A4" s="26" t="s">
        <v>409</v>
      </c>
      <c r="B4" s="26" t="s">
        <v>84</v>
      </c>
      <c r="C4" s="26" t="s">
        <v>17</v>
      </c>
      <c r="D4" s="29">
        <v>4362.2560000000012</v>
      </c>
      <c r="E4" s="30">
        <v>213.57572642253669</v>
      </c>
      <c r="F4" s="29">
        <v>931671.99404106941</v>
      </c>
      <c r="G4" s="29">
        <v>3200</v>
      </c>
      <c r="H4" s="30">
        <v>205.642857142857</v>
      </c>
      <c r="I4" s="29">
        <v>658057.14285714237</v>
      </c>
      <c r="J4" s="29">
        <v>0</v>
      </c>
      <c r="K4" s="30">
        <v>0</v>
      </c>
      <c r="L4" s="29">
        <v>0</v>
      </c>
      <c r="M4" s="29">
        <v>7562.2560000000012</v>
      </c>
      <c r="N4" s="30">
        <v>210.21889987567354</v>
      </c>
      <c r="O4" s="225">
        <v>1589729.1368982117</v>
      </c>
      <c r="P4" s="197">
        <v>0</v>
      </c>
      <c r="Q4" s="198">
        <v>0</v>
      </c>
      <c r="R4" s="198">
        <v>0</v>
      </c>
      <c r="S4" s="198">
        <v>0</v>
      </c>
    </row>
    <row r="5" spans="1:20" x14ac:dyDescent="0.35">
      <c r="A5" s="17" t="s">
        <v>410</v>
      </c>
      <c r="B5" s="17" t="s">
        <v>87</v>
      </c>
      <c r="C5" s="17" t="s">
        <v>8</v>
      </c>
      <c r="D5" s="18">
        <v>18235.883999999998</v>
      </c>
      <c r="E5" s="19">
        <v>50</v>
      </c>
      <c r="F5" s="18">
        <v>911794.2</v>
      </c>
      <c r="G5" s="18">
        <v>4800</v>
      </c>
      <c r="H5" s="19">
        <v>50</v>
      </c>
      <c r="I5" s="18">
        <v>240000</v>
      </c>
      <c r="J5" s="18">
        <v>0</v>
      </c>
      <c r="K5" s="19">
        <v>0</v>
      </c>
      <c r="L5" s="18">
        <v>0</v>
      </c>
      <c r="M5" s="18">
        <v>23035.883999999998</v>
      </c>
      <c r="N5" s="19">
        <v>50</v>
      </c>
      <c r="O5" s="18">
        <v>1151794.2</v>
      </c>
      <c r="P5" s="19">
        <v>0</v>
      </c>
      <c r="Q5" s="18">
        <v>0</v>
      </c>
      <c r="R5" s="18">
        <v>0</v>
      </c>
      <c r="S5" s="18">
        <v>0</v>
      </c>
    </row>
    <row r="6" spans="1:20" x14ac:dyDescent="0.35">
      <c r="A6" s="13" t="s">
        <v>115</v>
      </c>
      <c r="B6" s="13"/>
      <c r="C6" s="13"/>
      <c r="D6" s="15">
        <f>SUM(D4:D5)</f>
        <v>22598.14</v>
      </c>
      <c r="E6" s="63"/>
      <c r="F6" s="15">
        <f>SUM(F4:F5)</f>
        <v>1843466.1940410694</v>
      </c>
      <c r="G6" s="15">
        <f>SUM(G4:G5)</f>
        <v>8000</v>
      </c>
      <c r="H6" s="63"/>
      <c r="I6" s="15">
        <f>SUM(I4:I5)</f>
        <v>898057.14285714237</v>
      </c>
      <c r="J6" s="15">
        <f>SUM(J4:J5)</f>
        <v>0</v>
      </c>
      <c r="K6" s="63"/>
      <c r="L6" s="15">
        <f>SUM(L4:L5)</f>
        <v>0</v>
      </c>
      <c r="M6" s="15">
        <f>SUM(M4:M5)</f>
        <v>30598.14</v>
      </c>
      <c r="N6" s="63"/>
      <c r="O6" s="15">
        <f>SUM(O4:O5)</f>
        <v>2741523.3368982114</v>
      </c>
      <c r="P6" s="199"/>
      <c r="Q6" s="200">
        <f>SUM(Q4:Q5)</f>
        <v>0</v>
      </c>
      <c r="R6" s="200">
        <f>SUM(R4:R5)</f>
        <v>0</v>
      </c>
      <c r="S6" s="200"/>
      <c r="T6" s="29"/>
    </row>
    <row r="7" spans="1:20" x14ac:dyDescent="0.35">
      <c r="A7" s="28"/>
      <c r="B7" s="28"/>
      <c r="C7" s="28"/>
      <c r="D7" s="62"/>
      <c r="E7" s="179"/>
      <c r="F7" s="62"/>
      <c r="G7" s="62"/>
      <c r="H7" s="179"/>
      <c r="I7" s="62"/>
      <c r="J7" s="62"/>
      <c r="K7" s="179"/>
      <c r="L7" s="62"/>
      <c r="M7" s="62"/>
      <c r="N7" s="179"/>
      <c r="O7" s="62"/>
      <c r="P7" s="179"/>
      <c r="Q7" s="62"/>
      <c r="R7" s="62"/>
      <c r="S7" s="62"/>
      <c r="T7" s="173"/>
    </row>
    <row r="8" spans="1:20" s="31" customFormat="1" x14ac:dyDescent="0.35">
      <c r="D8" s="32"/>
      <c r="E8" s="33"/>
      <c r="F8" s="32"/>
      <c r="G8" s="32"/>
      <c r="H8" s="33"/>
      <c r="I8" s="32"/>
      <c r="J8" s="32"/>
      <c r="K8" s="33"/>
      <c r="L8" s="32"/>
      <c r="M8" s="32"/>
      <c r="N8" s="33"/>
      <c r="O8" s="32"/>
      <c r="P8" s="33"/>
      <c r="Q8" s="32"/>
      <c r="R8" s="32"/>
      <c r="S8" s="32"/>
      <c r="T8" s="174"/>
    </row>
    <row r="9" spans="1:20" s="31" customFormat="1" x14ac:dyDescent="0.35">
      <c r="D9" s="32"/>
      <c r="E9" s="33"/>
      <c r="F9" s="32"/>
      <c r="G9" s="32"/>
      <c r="H9" s="33"/>
      <c r="I9" s="32"/>
      <c r="J9" s="32"/>
      <c r="K9" s="33"/>
      <c r="L9" s="32"/>
      <c r="M9" s="32"/>
      <c r="N9" s="33"/>
      <c r="O9" s="32"/>
      <c r="P9" s="33"/>
      <c r="Q9" s="32"/>
      <c r="R9" s="32"/>
      <c r="S9" s="32"/>
      <c r="T9" s="174"/>
    </row>
    <row r="10" spans="1:20" x14ac:dyDescent="0.35">
      <c r="D10" s="29"/>
      <c r="E10" s="30"/>
      <c r="F10" s="29"/>
      <c r="G10" s="29"/>
      <c r="H10" s="30"/>
      <c r="I10" s="29"/>
      <c r="J10" s="29"/>
      <c r="K10" s="30"/>
      <c r="L10" s="29"/>
      <c r="M10" s="29"/>
      <c r="N10" s="30"/>
      <c r="O10" s="29"/>
      <c r="P10" s="30"/>
      <c r="Q10" s="29"/>
      <c r="R10" s="29"/>
      <c r="S10" s="29"/>
    </row>
    <row r="11" spans="1:20" x14ac:dyDescent="0.35">
      <c r="D11" s="29"/>
      <c r="E11" s="30"/>
      <c r="F11" s="29"/>
      <c r="G11" s="29"/>
      <c r="H11" s="30"/>
      <c r="I11" s="29"/>
      <c r="J11" s="29"/>
      <c r="K11" s="30"/>
      <c r="L11" s="29"/>
      <c r="M11" s="29"/>
      <c r="N11" s="30"/>
      <c r="O11" s="29"/>
      <c r="P11" s="30"/>
      <c r="Q11" s="29"/>
      <c r="R11" s="29"/>
      <c r="S11" s="29"/>
    </row>
    <row r="12" spans="1:20" x14ac:dyDescent="0.35">
      <c r="A12" s="28"/>
      <c r="B12" s="28"/>
      <c r="C12" s="28"/>
      <c r="D12" s="62"/>
      <c r="E12" s="28"/>
      <c r="F12" s="62"/>
      <c r="G12" s="62"/>
      <c r="H12" s="28"/>
      <c r="I12" s="62"/>
      <c r="J12" s="62"/>
      <c r="K12" s="28"/>
      <c r="L12" s="62"/>
      <c r="M12" s="62"/>
      <c r="N12" s="28"/>
      <c r="O12" s="62"/>
      <c r="P12" s="28"/>
      <c r="Q12" s="62"/>
      <c r="R12" s="62"/>
      <c r="S12" s="28"/>
    </row>
  </sheetData>
  <printOptions horizontalCentered="1"/>
  <pageMargins left="0.4" right="0.4" top="0.5" bottom="0.5" header="0.3" footer="0.3"/>
  <pageSetup paperSize="9" scale="71" fitToHeight="0" orientation="landscape" verticalDpi="0" r:id="rId1"/>
  <headerFooter>
    <oddHeader>&amp;L&amp;B&amp;14Ganesh Tel Mill&amp;R&amp;B&amp;12PAN: 604141622</oddHeader>
    <oddFooter>&amp;L&amp;10Prepared by: Suresh Sharma&amp;C&amp;10Page &amp;P of &amp;N&amp;R&amp;10Tel: 9851135421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GenerateFGStockReport">
                <anchor moveWithCells="1" sizeWithCells="1">
                  <from>
                    <xdr:col>10</xdr:col>
                    <xdr:colOff>50800</xdr:colOff>
                    <xdr:row>0</xdr:row>
                    <xdr:rowOff>146050</xdr:rowOff>
                  </from>
                  <to>
                    <xdr:col>13</xdr:col>
                    <xdr:colOff>508000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GenerateFGStockReport">
                <anchor moveWithCells="1" sizeWithCells="1">
                  <from>
                    <xdr:col>10</xdr:col>
                    <xdr:colOff>76200</xdr:colOff>
                    <xdr:row>0</xdr:row>
                    <xdr:rowOff>57150</xdr:rowOff>
                  </from>
                  <to>
                    <xdr:col>13</xdr:col>
                    <xdr:colOff>533400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D278-EDD2-4DA5-9267-06CF24CB5B3C}">
  <sheetPr codeName="Sheet24"/>
  <dimension ref="E1:E5"/>
  <sheetViews>
    <sheetView workbookViewId="0"/>
  </sheetViews>
  <sheetFormatPr defaultRowHeight="14.5" x14ac:dyDescent="0.35"/>
  <sheetData>
    <row r="1" spans="5:5" x14ac:dyDescent="0.35">
      <c r="E1" s="44" t="s">
        <v>139</v>
      </c>
    </row>
    <row r="2" spans="5:5" x14ac:dyDescent="0.35">
      <c r="E2" t="s">
        <v>260</v>
      </c>
    </row>
    <row r="3" spans="5:5" x14ac:dyDescent="0.35">
      <c r="E3" t="s">
        <v>261</v>
      </c>
    </row>
    <row r="4" spans="5:5" x14ac:dyDescent="0.35">
      <c r="E4" t="s">
        <v>262</v>
      </c>
    </row>
    <row r="5" spans="5:5" x14ac:dyDescent="0.35">
      <c r="E5" t="s">
        <v>263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16404-C13F-4018-96F6-015F3EB9DC1F}">
  <sheetPr codeName="Sheet17"/>
  <dimension ref="A1:H7"/>
  <sheetViews>
    <sheetView showGridLines="0" workbookViewId="0">
      <selection activeCell="D15" sqref="D15"/>
    </sheetView>
  </sheetViews>
  <sheetFormatPr defaultRowHeight="14.5" x14ac:dyDescent="0.35"/>
  <cols>
    <col min="1" max="1" width="14.36328125" style="5" customWidth="1"/>
    <col min="2" max="2" width="13.90625" style="5" customWidth="1"/>
    <col min="3" max="3" width="15.54296875" style="5" customWidth="1"/>
    <col min="4" max="4" width="21" style="5" customWidth="1"/>
    <col min="5" max="5" width="9.7265625" style="5" customWidth="1"/>
    <col min="6" max="6" width="10.90625" style="5" customWidth="1"/>
    <col min="7" max="7" width="11.453125" style="5" customWidth="1"/>
    <col min="8" max="8" width="15.26953125" style="5" customWidth="1"/>
  </cols>
  <sheetData>
    <row r="1" spans="1:8" s="104" customFormat="1" x14ac:dyDescent="0.35">
      <c r="A1" s="68" t="s">
        <v>16</v>
      </c>
      <c r="B1" s="68" t="s">
        <v>151</v>
      </c>
      <c r="C1" s="68" t="s">
        <v>152</v>
      </c>
      <c r="D1" s="68" t="s">
        <v>153</v>
      </c>
      <c r="E1" s="68" t="s">
        <v>154</v>
      </c>
      <c r="F1" s="68" t="s">
        <v>155</v>
      </c>
      <c r="G1" s="68" t="s">
        <v>156</v>
      </c>
      <c r="H1" s="68" t="s">
        <v>101</v>
      </c>
    </row>
    <row r="2" spans="1:8" x14ac:dyDescent="0.35">
      <c r="A2" s="102"/>
    </row>
    <row r="3" spans="1:8" x14ac:dyDescent="0.35">
      <c r="A3" s="102"/>
    </row>
    <row r="4" spans="1:8" x14ac:dyDescent="0.35">
      <c r="A4" s="102"/>
    </row>
    <row r="5" spans="1:8" x14ac:dyDescent="0.35">
      <c r="A5" s="102"/>
    </row>
    <row r="6" spans="1:8" x14ac:dyDescent="0.35">
      <c r="A6" s="102"/>
    </row>
    <row r="7" spans="1:8" x14ac:dyDescent="0.35">
      <c r="A7" s="102"/>
    </row>
  </sheetData>
  <sortState xmlns:xlrd2="http://schemas.microsoft.com/office/spreadsheetml/2017/richdata2" ref="A2:H5">
    <sortCondition ref="A2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B5393-DDF1-4C9C-ABA4-D9FE240B60C1}">
  <sheetPr codeName="Sheet19"/>
  <dimension ref="A1:G2"/>
  <sheetViews>
    <sheetView showGridLines="0" workbookViewId="0">
      <selection activeCell="F12" sqref="F12"/>
    </sheetView>
  </sheetViews>
  <sheetFormatPr defaultRowHeight="14.5" x14ac:dyDescent="0.35"/>
  <cols>
    <col min="1" max="1" width="15.26953125" style="103" customWidth="1"/>
    <col min="2" max="2" width="16.7265625" style="55" customWidth="1"/>
    <col min="3" max="3" width="10.54296875" style="55" customWidth="1"/>
    <col min="4" max="4" width="16.81640625" style="55" customWidth="1"/>
    <col min="5" max="5" width="15.36328125" style="55" customWidth="1"/>
    <col min="6" max="6" width="17.1796875" style="55" customWidth="1"/>
    <col min="7" max="7" width="14.36328125" style="55" customWidth="1"/>
  </cols>
  <sheetData>
    <row r="1" spans="1:7" s="104" customFormat="1" x14ac:dyDescent="0.35">
      <c r="A1" s="68" t="s">
        <v>16</v>
      </c>
      <c r="B1" s="68" t="s">
        <v>34</v>
      </c>
      <c r="C1" s="68" t="s">
        <v>33</v>
      </c>
      <c r="D1" s="68" t="s">
        <v>36</v>
      </c>
      <c r="E1" s="68" t="s">
        <v>159</v>
      </c>
      <c r="F1" s="68" t="s">
        <v>160</v>
      </c>
      <c r="G1" s="68" t="s">
        <v>156</v>
      </c>
    </row>
    <row r="2" spans="1:7" x14ac:dyDescent="0.35">
      <c r="A2" s="184">
        <v>45854</v>
      </c>
      <c r="B2" s="101" t="s">
        <v>176</v>
      </c>
      <c r="C2" s="101" t="s">
        <v>37</v>
      </c>
      <c r="D2" s="101" t="s">
        <v>30</v>
      </c>
      <c r="E2" s="185">
        <v>0</v>
      </c>
      <c r="F2" s="185">
        <v>1056949.03</v>
      </c>
      <c r="G2" s="185">
        <v>-1056949.03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2F8FF-0ED2-4C41-98E9-C5BFC5B6D9BF}">
  <sheetPr codeName="Sheet21"/>
  <dimension ref="A1:B4"/>
  <sheetViews>
    <sheetView workbookViewId="0"/>
  </sheetViews>
  <sheetFormatPr defaultRowHeight="14.5" x14ac:dyDescent="0.35"/>
  <sheetData>
    <row r="1" spans="1:2" x14ac:dyDescent="0.35">
      <c r="A1" t="s">
        <v>161</v>
      </c>
      <c r="B1" t="s">
        <v>164</v>
      </c>
    </row>
    <row r="2" spans="1:2" x14ac:dyDescent="0.35">
      <c r="A2" t="s">
        <v>27</v>
      </c>
      <c r="B2">
        <v>604141622</v>
      </c>
    </row>
    <row r="3" spans="1:2" x14ac:dyDescent="0.35">
      <c r="A3" t="s">
        <v>162</v>
      </c>
      <c r="B3" t="s">
        <v>165</v>
      </c>
    </row>
    <row r="4" spans="1:2" x14ac:dyDescent="0.35">
      <c r="A4" t="s">
        <v>163</v>
      </c>
      <c r="B4">
        <v>9851135421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DE468-6DE8-454C-8FA7-ED383EB78DEE}">
  <sheetPr codeName="Sheet27"/>
  <dimension ref="A1:Y5"/>
  <sheetViews>
    <sheetView workbookViewId="0">
      <selection activeCell="G14" sqref="G14"/>
    </sheetView>
  </sheetViews>
  <sheetFormatPr defaultRowHeight="14.5" x14ac:dyDescent="0.35"/>
  <cols>
    <col min="1" max="1" width="8.08984375" style="5" bestFit="1" customWidth="1"/>
    <col min="2" max="2" width="9.453125" style="5" bestFit="1" customWidth="1"/>
    <col min="3" max="3" width="11.7265625" style="5" bestFit="1" customWidth="1"/>
    <col min="4" max="4" width="12.08984375" style="5" bestFit="1" customWidth="1"/>
    <col min="5" max="5" width="8" style="5" bestFit="1" customWidth="1"/>
    <col min="6" max="6" width="12.7265625" style="5" bestFit="1" customWidth="1"/>
    <col min="7" max="7" width="11.81640625" style="5" bestFit="1" customWidth="1"/>
    <col min="8" max="8" width="9.453125" style="5" bestFit="1" customWidth="1"/>
    <col min="9" max="9" width="7.81640625" style="5" bestFit="1" customWidth="1"/>
    <col min="10" max="10" width="9.08984375" style="5" bestFit="1" customWidth="1"/>
    <col min="11" max="11" width="9" style="5" bestFit="1" customWidth="1"/>
    <col min="12" max="12" width="9.81640625" style="5" bestFit="1" customWidth="1"/>
    <col min="13" max="13" width="10.81640625" style="5" bestFit="1" customWidth="1"/>
    <col min="14" max="14" width="13.7265625" style="5" bestFit="1" customWidth="1"/>
    <col min="15" max="15" width="11.26953125" style="5" bestFit="1" customWidth="1"/>
    <col min="16" max="16" width="12.453125" style="5" bestFit="1" customWidth="1"/>
    <col min="17" max="17" width="12.7265625" style="5" bestFit="1" customWidth="1"/>
    <col min="18" max="18" width="12.1796875" style="5" bestFit="1" customWidth="1"/>
    <col min="19" max="19" width="12" style="5" bestFit="1" customWidth="1"/>
    <col min="20" max="20" width="10.08984375" style="5" bestFit="1" customWidth="1"/>
    <col min="21" max="21" width="11.6328125" style="5" bestFit="1" customWidth="1"/>
    <col min="22" max="22" width="11.54296875" style="5" bestFit="1" customWidth="1"/>
    <col min="23" max="23" width="14.08984375" style="5" bestFit="1" customWidth="1"/>
    <col min="24" max="24" width="13.6328125" style="5" bestFit="1" customWidth="1"/>
    <col min="25" max="25" width="11.1796875" style="5" bestFit="1" customWidth="1"/>
  </cols>
  <sheetData>
    <row r="1" spans="1:25" s="202" customFormat="1" ht="22" customHeight="1" x14ac:dyDescent="0.35">
      <c r="A1" s="218" t="s">
        <v>50</v>
      </c>
      <c r="B1" s="218" t="s">
        <v>468</v>
      </c>
      <c r="C1" s="218" t="s">
        <v>474</v>
      </c>
      <c r="D1" s="218" t="s">
        <v>472</v>
      </c>
      <c r="E1" s="218" t="s">
        <v>469</v>
      </c>
      <c r="F1" s="218" t="s">
        <v>470</v>
      </c>
      <c r="G1" s="218" t="s">
        <v>475</v>
      </c>
      <c r="H1" s="218" t="s">
        <v>476</v>
      </c>
      <c r="I1" s="218" t="s">
        <v>477</v>
      </c>
      <c r="J1" s="218" t="s">
        <v>478</v>
      </c>
      <c r="K1" s="218" t="s">
        <v>479</v>
      </c>
      <c r="L1" s="218" t="s">
        <v>480</v>
      </c>
      <c r="M1" s="218" t="s">
        <v>491</v>
      </c>
      <c r="N1" s="219" t="s">
        <v>492</v>
      </c>
      <c r="O1" s="219" t="s">
        <v>493</v>
      </c>
      <c r="P1" s="219" t="s">
        <v>471</v>
      </c>
      <c r="Q1" s="220" t="s">
        <v>481</v>
      </c>
      <c r="R1" s="220" t="s">
        <v>482</v>
      </c>
      <c r="S1" s="220" t="s">
        <v>483</v>
      </c>
      <c r="T1" s="220" t="s">
        <v>484</v>
      </c>
      <c r="U1" s="220" t="s">
        <v>485</v>
      </c>
      <c r="V1" s="220" t="s">
        <v>486</v>
      </c>
      <c r="W1" s="220" t="s">
        <v>487</v>
      </c>
      <c r="X1" s="220" t="s">
        <v>494</v>
      </c>
      <c r="Y1" s="220" t="s">
        <v>488</v>
      </c>
    </row>
    <row r="2" spans="1:25" x14ac:dyDescent="0.35">
      <c r="A2" s="221" t="s">
        <v>180</v>
      </c>
      <c r="B2" s="221" t="s">
        <v>473</v>
      </c>
      <c r="C2" s="222">
        <v>5000</v>
      </c>
      <c r="D2" s="221" t="s">
        <v>489</v>
      </c>
      <c r="E2" s="221">
        <v>2</v>
      </c>
      <c r="F2" s="222">
        <v>20000</v>
      </c>
      <c r="G2" s="222">
        <v>40000</v>
      </c>
      <c r="H2" s="222">
        <v>10000</v>
      </c>
      <c r="I2" s="222">
        <v>5000</v>
      </c>
      <c r="J2" s="222">
        <v>20000</v>
      </c>
      <c r="K2" s="222">
        <v>15000</v>
      </c>
      <c r="L2" s="222">
        <v>90000</v>
      </c>
      <c r="M2" s="223">
        <v>18</v>
      </c>
      <c r="N2" s="222">
        <v>0</v>
      </c>
      <c r="O2" s="222">
        <v>0</v>
      </c>
      <c r="P2" s="223">
        <v>0</v>
      </c>
      <c r="Q2" s="222">
        <v>5000</v>
      </c>
      <c r="R2" s="222">
        <v>40000</v>
      </c>
      <c r="S2" s="222">
        <v>10000</v>
      </c>
      <c r="T2" s="222">
        <v>5000</v>
      </c>
      <c r="U2" s="222">
        <v>20000</v>
      </c>
      <c r="V2" s="222">
        <v>15000</v>
      </c>
      <c r="W2" s="222">
        <v>90000</v>
      </c>
      <c r="X2" s="223">
        <v>18</v>
      </c>
      <c r="Y2" s="222">
        <v>0</v>
      </c>
    </row>
    <row r="3" spans="1:25" x14ac:dyDescent="0.35">
      <c r="A3" s="214" t="s">
        <v>180</v>
      </c>
      <c r="B3" s="214" t="s">
        <v>473</v>
      </c>
      <c r="C3" s="215">
        <v>9357.2560000000012</v>
      </c>
      <c r="D3" s="214" t="s">
        <v>490</v>
      </c>
      <c r="E3" s="214">
        <v>0</v>
      </c>
      <c r="F3" s="215">
        <v>0</v>
      </c>
      <c r="G3" s="215">
        <v>45000</v>
      </c>
      <c r="H3" s="215">
        <v>12000</v>
      </c>
      <c r="I3" s="215">
        <v>7500</v>
      </c>
      <c r="J3" s="215">
        <v>23000</v>
      </c>
      <c r="K3" s="215">
        <v>20000</v>
      </c>
      <c r="L3" s="215">
        <v>107500</v>
      </c>
      <c r="M3" s="224">
        <v>11.48841070501865</v>
      </c>
      <c r="N3" s="215">
        <v>1956130.8</v>
      </c>
      <c r="O3" s="215">
        <v>2063630.8</v>
      </c>
      <c r="P3" s="224">
        <v>220.53802952489488</v>
      </c>
      <c r="Q3" s="215">
        <v>5000</v>
      </c>
      <c r="R3" s="215">
        <v>40000</v>
      </c>
      <c r="S3" s="215">
        <v>10000</v>
      </c>
      <c r="T3" s="215">
        <v>5000</v>
      </c>
      <c r="U3" s="215">
        <v>20000</v>
      </c>
      <c r="V3" s="215">
        <v>15000</v>
      </c>
      <c r="W3" s="215">
        <v>90000</v>
      </c>
      <c r="X3" s="224">
        <v>18</v>
      </c>
      <c r="Y3" s="226">
        <v>17500</v>
      </c>
    </row>
    <row r="4" spans="1:25" x14ac:dyDescent="0.35">
      <c r="A4" s="221" t="s">
        <v>185</v>
      </c>
      <c r="B4" s="221" t="s">
        <v>473</v>
      </c>
      <c r="C4" s="222">
        <v>4000</v>
      </c>
      <c r="D4" s="221" t="s">
        <v>489</v>
      </c>
      <c r="E4" s="221">
        <v>2</v>
      </c>
      <c r="F4" s="222">
        <v>20000</v>
      </c>
      <c r="G4" s="222">
        <v>40000</v>
      </c>
      <c r="H4" s="222">
        <v>10000</v>
      </c>
      <c r="I4" s="222">
        <v>5000</v>
      </c>
      <c r="J4" s="222">
        <v>20000</v>
      </c>
      <c r="K4" s="222">
        <v>15000</v>
      </c>
      <c r="L4" s="222">
        <v>90000</v>
      </c>
      <c r="M4" s="223">
        <v>22.5</v>
      </c>
      <c r="N4" s="222">
        <v>0</v>
      </c>
      <c r="O4" s="222">
        <v>0</v>
      </c>
      <c r="P4" s="223">
        <v>0</v>
      </c>
      <c r="Q4" s="222">
        <v>4000</v>
      </c>
      <c r="R4" s="222">
        <v>40000</v>
      </c>
      <c r="S4" s="222">
        <v>10000</v>
      </c>
      <c r="T4" s="222">
        <v>5000</v>
      </c>
      <c r="U4" s="222">
        <v>20000</v>
      </c>
      <c r="V4" s="222">
        <v>15000</v>
      </c>
      <c r="W4" s="222">
        <v>90000</v>
      </c>
      <c r="X4" s="223">
        <v>22.5</v>
      </c>
      <c r="Y4" s="222">
        <v>0</v>
      </c>
    </row>
    <row r="5" spans="1:25" x14ac:dyDescent="0.35">
      <c r="A5" s="214" t="s">
        <v>185</v>
      </c>
      <c r="B5" s="214" t="s">
        <v>473</v>
      </c>
      <c r="C5" s="215">
        <v>800</v>
      </c>
      <c r="D5" s="214" t="s">
        <v>490</v>
      </c>
      <c r="E5" s="214">
        <v>0</v>
      </c>
      <c r="F5" s="215">
        <v>0</v>
      </c>
      <c r="G5" s="215">
        <v>42000</v>
      </c>
      <c r="H5" s="215">
        <v>15000</v>
      </c>
      <c r="I5" s="215">
        <v>8000</v>
      </c>
      <c r="J5" s="215">
        <v>22000</v>
      </c>
      <c r="K5" s="215">
        <v>18000</v>
      </c>
      <c r="L5" s="215">
        <v>105000</v>
      </c>
      <c r="M5" s="224">
        <v>131.25</v>
      </c>
      <c r="N5" s="215">
        <v>165727.05992509401</v>
      </c>
      <c r="O5" s="215">
        <v>270727.05992509401</v>
      </c>
      <c r="P5" s="224">
        <v>338.4088249063675</v>
      </c>
      <c r="Q5" s="215">
        <v>4000</v>
      </c>
      <c r="R5" s="215">
        <v>40000</v>
      </c>
      <c r="S5" s="215">
        <v>10000</v>
      </c>
      <c r="T5" s="215">
        <v>5000</v>
      </c>
      <c r="U5" s="215">
        <v>20000</v>
      </c>
      <c r="V5" s="215">
        <v>15000</v>
      </c>
      <c r="W5" s="215">
        <v>90000</v>
      </c>
      <c r="X5" s="224">
        <v>22.5</v>
      </c>
      <c r="Y5" s="226">
        <v>15000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11</vt:i4>
      </vt:variant>
    </vt:vector>
  </HeadingPairs>
  <TitlesOfParts>
    <vt:vector size="33" baseType="lpstr">
      <vt:lpstr>Dashboard</vt:lpstr>
      <vt:lpstr>MM_ENTRY</vt:lpstr>
      <vt:lpstr>AR_AP_Entry</vt:lpstr>
      <vt:lpstr>Purchase_Entry</vt:lpstr>
      <vt:lpstr>Sales_Entry</vt:lpstr>
      <vt:lpstr>Production_Entry</vt:lpstr>
      <vt:lpstr>GL_Master</vt:lpstr>
      <vt:lpstr>RM_Master</vt:lpstr>
      <vt:lpstr>FG_Master</vt:lpstr>
      <vt:lpstr>BP_Master</vt:lpstr>
      <vt:lpstr>Party_Master</vt:lpstr>
      <vt:lpstr>Production_Journal</vt:lpstr>
      <vt:lpstr>Stock_Journal</vt:lpstr>
      <vt:lpstr>FA_Register</vt:lpstr>
      <vt:lpstr>Purchase_Book</vt:lpstr>
      <vt:lpstr>Sales_Book</vt:lpstr>
      <vt:lpstr>VAT_Summary</vt:lpstr>
      <vt:lpstr>RM_Stock_Report</vt:lpstr>
      <vt:lpstr>FG_Stock_Report</vt:lpstr>
      <vt:lpstr>GL_Book</vt:lpstr>
      <vt:lpstr>Party_ledger</vt:lpstr>
      <vt:lpstr>Costing_Budget</vt:lpstr>
      <vt:lpstr>BP_Names</vt:lpstr>
      <vt:lpstr>FACodeList</vt:lpstr>
      <vt:lpstr>FG_Names</vt:lpstr>
      <vt:lpstr>VAT_Summary!Opening_VAT</vt:lpstr>
      <vt:lpstr>MM_ENTRY!Print_Area</vt:lpstr>
      <vt:lpstr>Production_Entry!Print_Area</vt:lpstr>
      <vt:lpstr>VAT_Summary!Print_Area</vt:lpstr>
      <vt:lpstr>VAT_Summary!VAT_Adjustments</vt:lpstr>
      <vt:lpstr>VAT_Summary!VAT_From_Date</vt:lpstr>
      <vt:lpstr>VAT_Summary!VAT_Paid</vt:lpstr>
      <vt:lpstr>VAT_Summary!VAT_To_Date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Suresh Sharma</dc:creator>
  <cp:lastModifiedBy>Suresh Sharma</cp:lastModifiedBy>
  <cp:lastPrinted>2026-04-29T09:48:20Z</cp:lastPrinted>
  <dcterms:created xsi:type="dcterms:W3CDTF">2026-04-17T13:21:08Z</dcterms:created>
  <dcterms:modified xsi:type="dcterms:W3CDTF">2026-04-29T10:01:31Z</dcterms:modified>
</cp:coreProperties>
</file>